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b6fb7490e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法说明" sheetId="1" r:id="Rab0f93f48391453f"/>
    <x:sheet xmlns:r="http://schemas.openxmlformats.org/officeDocument/2006/relationships" name="Kano_日常基础照明" sheetId="5" r:id="R6279554605d34e19"/>
    <x:sheet xmlns:r="http://schemas.openxmlformats.org/officeDocument/2006/relationships" name="Kano_睡眠与起居" sheetId="6" r:id="R8882c46287e24d58"/>
    <x:sheet xmlns:r="http://schemas.openxmlformats.org/officeDocument/2006/relationships" name="Kano_学习工作" sheetId="7" r:id="R76dc28aac6d243f1"/>
    <x:sheet xmlns:r="http://schemas.openxmlformats.org/officeDocument/2006/relationships" name="Kano_智能托管" sheetId="8" r:id="Rc6d137b7a28c45ab"/>
    <x:sheet xmlns:r="http://schemas.openxmlformats.org/officeDocument/2006/relationships" name="Kano_休闲娱乐" sheetId="9" r:id="R7167037d1f9d414b"/>
    <x:sheet xmlns:r="http://schemas.openxmlformats.org/officeDocument/2006/relationships" name="Kano_亲子互动陪伴" sheetId="10" r:id="R2ed8c5363f304a2c"/>
    <x:sheet xmlns:r="http://schemas.openxmlformats.org/officeDocument/2006/relationships" name="Kano汇总" sheetId="3" r:id="R53f270555157462d"/>
    <x:sheet xmlns:r="http://schemas.openxmlformats.org/officeDocument/2006/relationships" name="词对明细" sheetId="4" r:id="R6b3a30d65ba34af7"/>
    <x:sheet xmlns:r="http://schemas.openxmlformats.org/officeDocument/2006/relationships" name="全局统计" sheetId="2" r:id="R4797cfe19e97452f"/>
    <x:sheet xmlns:r="http://schemas.openxmlformats.org/officeDocument/2006/relationships" name="复现核对" sheetId="11" r:id="Rf233b09631ca46f9"/>
  </x:sheets>
</x:workbook>
</file>

<file path=xl/sharedStrings.xml><?xml version="1.0" encoding="utf-8"?>
<x:sst xmlns:x="http://schemas.openxmlformats.org/spreadsheetml/2006/main">
  <x:si>
    <x:t xml:space="preserve">Kano + 词对统计分析说明</x:t>
  </x:si>
  <x:si>
    <x:t xml:space="preserve">项目</x:t>
  </x:si>
  <x:si>
    <x:t xml:space="preserve">说明</x:t>
  </x:si>
  <x:si>
    <x:t xml:space="preserve">标准美学指标分类</x:t>
  </x:si>
  <x:si>
    <x:t xml:space="preserve">触点类型</x:t>
  </x:si>
  <x:si>
    <x:t xml:space="preserve">分析对象</x:t>
  </x:si>
  <x:si>
    <x:t xml:space="preserve">基于原表 F-H 列的标准化标签，以及 I 列情感强度。</x:t>
  </x:si>
  <x:si>
    <x:t xml:space="preserve">照明与色调</x:t>
  </x:si>
  <x:si>
    <x:t xml:space="preserve">视觉触点</x:t>
  </x:si>
  <x:si>
    <x:t xml:space="preserve">标准化词对</x:t>
  </x:si>
  <x:si>
    <x:t xml:space="preserve">以“标准美学指标分类 × 用户感受分类”为核心词对；在场景内进一步统计“使用场景分类 × 标准美学指标分类 × 用户感受分类”。</x:t>
  </x:si>
  <x:si>
    <x:t xml:space="preserve">视觉舒适</x:t>
  </x:si>
  <x:si>
    <x:t xml:space="preserve">魅力型（A）</x:t>
  </x:si>
  <x:si>
    <x:t xml:space="preserve">高正向、低负向：做好会显著加分，可作为体验亮点。</x:t>
  </x:si>
  <x:si>
    <x:t xml:space="preserve">形体造型</x:t>
  </x:si>
  <x:si>
    <x:t xml:space="preserve">期望型（O）</x:t>
  </x:si>
  <x:si>
    <x:t xml:space="preserve">正向和负向均敏感：做得越好满意度越高，做不好会被抱怨。</x:t>
  </x:si>
  <x:si>
    <x:t xml:space="preserve">空间氛围</x:t>
  </x:si>
  <x:si>
    <x:t xml:space="preserve">基础型/风险项（M）</x:t>
  </x:si>
  <x:si>
    <x:t xml:space="preserve">负向占比较高：属于底线或痛点，应优先修复。</x:t>
  </x:si>
  <x:si>
    <x:t xml:space="preserve">材料质感</x:t>
  </x:si>
  <x:si>
    <x:t xml:space="preserve">触觉/近身质感触点</x:t>
  </x:si>
  <x:si>
    <x:t xml:space="preserve">无差异型（I）</x:t>
  </x:si>
  <x:si>
    <x:t xml:space="preserve">中性占比较高且情绪波动小：保持基本水平即可。</x:t>
  </x:si>
  <x:si>
    <x:t xml:space="preserve">做工细节</x:t>
  </x:si>
  <x:si>
    <x:t xml:space="preserve">样本不足</x:t>
  </x:si>
  <x:si>
    <x:t xml:space="preserve">单场景内该指标提及少于 5 条，建议补充评论或访谈验证。</x:t>
  </x:si>
  <x:si>
    <x:t xml:space="preserve">交互功能</x:t>
  </x:si>
  <x:si>
    <x:t xml:space="preserve">操作交互触点</x:t>
  </x:si>
  <x:si>
    <x:t xml:space="preserve">注</x:t>
  </x:si>
  <x:si>
    <x:t xml:space="preserve">使用场景分类=“无”的记录保留在全局统计与词对明细中，但不单独生成正式使用场景 Kano 表。</x:t>
  </x:si>
  <x:si>
    <x:t xml:space="preserve">日常基础照明｜Kano触点分析表</x:t>
  </x:si>
  <x:si>
    <x:t xml:space="preserve">场景总提及频次</x:t>
  </x:si>
  <x:si>
    <x:t xml:space="preserve">标准美学指标</x:t>
  </x:si>
  <x:si>
    <x:t xml:space="preserve">提及频次</x:t>
  </x:si>
  <x:si>
    <x:t xml:space="preserve">场景内占比</x:t>
  </x:si>
  <x:si>
    <x:t xml:space="preserve">正向数</x:t>
  </x:si>
  <x:si>
    <x:t xml:space="preserve">中性数</x:t>
  </x:si>
  <x:si>
    <x:t xml:space="preserve">负向数</x:t>
  </x:si>
  <x:si>
    <x:t xml:space="preserve">正向率</x:t>
  </x:si>
  <x:si>
    <x:t xml:space="preserve">中性率</x:t>
  </x:si>
  <x:si>
    <x:t xml:space="preserve">负向率</x:t>
  </x:si>
  <x:si>
    <x:t xml:space="preserve">主要用户感受</x:t>
  </x:si>
  <x:si>
    <x:t xml:space="preserve">用户感受占比分布</x:t>
  </x:si>
  <x:si>
    <x:t xml:space="preserve">Kano分类</x:t>
  </x:si>
  <x:si>
    <x:t xml:space="preserve">设计优先级</x:t>
  </x:si>
  <x:si>
    <x:t xml:space="preserve">设计含义/建议</x:t>
  </x:si>
  <x:si>
    <x:t xml:space="preserve">舒适感</x:t>
  </x:si>
  <x:si>
    <x:t xml:space="preserve">舒适感 67.0%；愉悦与氛围感 10.5%；美观与价值感 10.5%；便捷性 8.9%；其他 3.0%</x:t>
  </x:si>
  <x:si>
    <x:t xml:space="preserve">重点优化</x:t>
  </x:si>
  <x:si>
    <x:t xml:space="preserve">持续提升一致性，做得越好越能提高满意度。</x:t>
  </x:si>
  <x:si>
    <x:t xml:space="preserve">便捷性</x:t>
  </x:si>
  <x:si>
    <x:t xml:space="preserve">便捷性 68.7%；舒适感 11.2%；美观与价值感 8.2%；愉悦与氛围感 7.5%；其他 4.5%</x:t>
  </x:si>
  <x:si>
    <x:t xml:space="preserve">低优先级观察</x:t>
  </x:si>
  <x:si>
    <x:t xml:space="preserve">保持基本水平即可，资源优先投入高关注项。</x:t>
  </x:si>
  <x:si>
    <x:t xml:space="preserve">风格设计</x:t>
  </x:si>
  <x:si>
    <x:t xml:space="preserve">美观与价值感</x:t>
  </x:si>
  <x:si>
    <x:t xml:space="preserve">美观与价值感 79.0%；便捷性 12.6%；愉悦与氛围感 5.0%；舒适感 2.5%；其他 0.8%</x:t>
  </x:si>
  <x:si>
    <x:t xml:space="preserve">强化为卖点</x:t>
  </x:si>
  <x:si>
    <x:t xml:space="preserve">可作为感知亮点展示，增强记忆点与差异化。</x:t>
  </x:si>
  <x:si>
    <x:t xml:space="preserve">美观与价值感 80.4%；舒适感 10.3%；便捷性 4.7%；安全感 2.8%；其他 1.9%</x:t>
  </x:si>
  <x:si>
    <x:t xml:space="preserve">舒适感 65.4%；美观与价值感 19.6%；愉悦与氛围感 8.4%；便捷性 2.8%；其他 3.7%</x:t>
  </x:si>
  <x:si>
    <x:t xml:space="preserve">美观与价值感 53.7%；便捷性 33.3%；舒适感 7.4%；安全感 5.6%</x:t>
  </x:si>
  <x:si>
    <x:t xml:space="preserve">适度强化</x:t>
  </x:si>
  <x:si>
    <x:t xml:space="preserve">愉悦与氛围感</x:t>
  </x:si>
  <x:si>
    <x:t xml:space="preserve">愉悦与氛围感 51.9%；美观与价值感 21.2%；舒适感 21.2%；安全感 1.9%；其他 3.8%</x:t>
  </x:si>
  <x:si>
    <x:t xml:space="preserve">美观与价值感 57.8%；舒适感 13.3%；便捷性 13.3%；安全感 11.1%；其他 4.4%</x:t>
  </x:si>
  <x:si>
    <x:t xml:space="preserve">持续优化</x:t>
  </x:si>
  <x:si>
    <x:t xml:space="preserve">色彩</x:t>
  </x:si>
  <x:si>
    <x:t xml:space="preserve">美观与价值感 81.6%；舒适感 10.5%；便捷性 5.3%；无 2.6%</x:t>
  </x:si>
  <x:si>
    <x:t xml:space="preserve">睡眠与起居｜Kano触点分析表</x:t>
  </x:si>
  <x:si>
    <x:t xml:space="preserve">舒适感 70.9%；愉悦与氛围感 10.7%；便捷性 7.8%；安全感 5.7%；其他 4.9%</x:t>
  </x:si>
  <x:si>
    <x:t xml:space="preserve">便捷性 50.5%；舒适感 19.4%；愉悦与氛围感 15.1%；无 10.8%；其他 4.3%</x:t>
  </x:si>
  <x:si>
    <x:t xml:space="preserve">美观与价值感 57.1%；舒适感 28.6%；便捷性 14.3%</x:t>
  </x:si>
  <x:si>
    <x:t xml:space="preserve">舒适感 55.0%；愉悦与氛围感 20.0%；美观与价值感 10.0%；安全感 5.0%；其他 10.0%</x:t>
  </x:si>
  <x:si>
    <x:t xml:space="preserve">美观与价值感 47.1%；舒适感 23.5%；愉悦与氛围感 11.8%；便捷性 11.8%；其他 5.9%</x:t>
  </x:si>
  <x:si>
    <x:t xml:space="preserve">愉悦与氛围感 53.8%；舒适感 23.1%；美观与价值感 7.7%；便捷性 7.7%；其他 7.7%</x:t>
  </x:si>
  <x:si>
    <x:t xml:space="preserve">美观与价值感 90.0%；愉悦与氛围感 10.0%</x:t>
  </x:si>
  <x:si>
    <x:t xml:space="preserve">美观与价值感 80.0%；便捷性 20.0%</x:t>
  </x:si>
  <x:si>
    <x:t xml:space="preserve">美观与价值感 100.0%</x:t>
  </x:si>
  <x:si>
    <x:t xml:space="preserve">学习工作｜Kano触点分析表</x:t>
  </x:si>
  <x:si>
    <x:t xml:space="preserve">舒适感 55.8%；专注 28.8%；便捷性 7.7%；愉悦与氛围感 3.8%；其他 3.8%</x:t>
  </x:si>
  <x:si>
    <x:t xml:space="preserve">舒适感 67.8%；专注 11.9%；美观与价值感 10.2%；便捷性 5.1%；其他 5.1%</x:t>
  </x:si>
  <x:si>
    <x:t xml:space="preserve">便捷性 48.9%；无 17.0%；专注 14.9%；愉悦与氛围感 12.8%；其他 6.4%</x:t>
  </x:si>
  <x:si>
    <x:t xml:space="preserve">美观与价值感 66.7%；专注 20.0%；便捷性 6.7%；舒适感 6.7%</x:t>
  </x:si>
  <x:si>
    <x:t xml:space="preserve">愉悦与氛围感 42.9%；专注 28.6%；美观与价值感 14.3%；便捷性 7.1%；其他 7.1%</x:t>
  </x:si>
  <x:si>
    <x:t xml:space="preserve">美观与价值感 62.5%；便捷性 12.5%；专注 12.5%；愉悦与氛围感 12.5%</x:t>
  </x:si>
  <x:si>
    <x:t xml:space="preserve">美观与价值感 66.7%；舒适感 33.3%</x:t>
  </x:si>
  <x:si>
    <x:t xml:space="preserve">样本不足（待验证）</x:t>
  </x:si>
  <x:si>
    <x:t xml:space="preserve">补样本验证</x:t>
  </x:si>
  <x:si>
    <x:t xml:space="preserve">当前样本量偏低，需要结合访谈或补充评论验证。</x:t>
  </x:si>
  <x:si>
    <x:t xml:space="preserve">智能托管｜Kano触点分析表</x:t>
  </x:si>
  <x:si>
    <x:t xml:space="preserve">便捷性 77.4%；舒适感 8.2%；愉悦与氛围感 6.9%；美观与价值感 6.3%；其他 1.3%</x:t>
  </x:si>
  <x:si>
    <x:t xml:space="preserve">舒适感 58.9%；便捷性 16.4%；愉悦与氛围感 9.6%；美观与价值感 8.2%；其他 6.8%</x:t>
  </x:si>
  <x:si>
    <x:t xml:space="preserve">美观与价值感 35.7%；便捷性 35.7%；愉悦与氛围感 14.3%；舒适感 7.1%；其他 7.1%</x:t>
  </x:si>
  <x:si>
    <x:t xml:space="preserve">美观与价值感 76.9%；便捷性 23.1%</x:t>
  </x:si>
  <x:si>
    <x:t xml:space="preserve">愉悦与氛围感 62.5%；美观与价值感 25.0%；专注 12.5%</x:t>
  </x:si>
  <x:si>
    <x:t xml:space="preserve">舒适感 50.0%；愉悦与氛围感 16.7%；便捷性 16.7%；美观与价值感 16.7%</x:t>
  </x:si>
  <x:si>
    <x:t xml:space="preserve">美观与价值感 75.0%；便捷性 25.0%</x:t>
  </x:si>
  <x:si>
    <x:t xml:space="preserve">美观与价值感 66.7%；愉悦与氛围感 33.3%</x:t>
  </x:si>
  <x:si>
    <x:t xml:space="preserve">便捷性 33.3%；愉悦与氛围感 33.3%；舒适感 33.3%</x:t>
  </x:si>
  <x:si>
    <x:t xml:space="preserve">休闲娱乐｜Kano触点分析表</x:t>
  </x:si>
  <x:si>
    <x:t xml:space="preserve">舒适感 64.4%；愉悦与氛围感 24.1%；便捷性 6.9%；无 3.4%；其他 1.1%</x:t>
  </x:si>
  <x:si>
    <x:t xml:space="preserve">便捷性 40.0%；愉悦与氛围感 29.1%；无 14.5%；舒适感 9.1%；其他 7.3%</x:t>
  </x:si>
  <x:si>
    <x:t xml:space="preserve">愉悦与氛围感 80.0%；舒适感 10.0%；便捷性 5.0%；美观与价值感 2.5%；其他 2.5%</x:t>
  </x:si>
  <x:si>
    <x:t xml:space="preserve">舒适感 72.7%；愉悦与氛围感 18.2%；便捷性 9.1%</x:t>
  </x:si>
  <x:si>
    <x:t xml:space="preserve">愉悦与氛围感 50.0%；便捷性 25.0%；美观与价值感 25.0%</x:t>
  </x:si>
  <x:si>
    <x:t xml:space="preserve">便捷性 50.0%；美观与价值感 50.0%</x:t>
  </x:si>
  <x:si>
    <x:t xml:space="preserve">亲子互动陪伴｜Kano触点分析表</x:t>
  </x:si>
  <x:si>
    <x:t xml:space="preserve">舒适感 78.6%；安全感 7.1%；愉悦与氛围感 7.1%；专注 3.6%；其他 3.6%</x:t>
  </x:si>
  <x:si>
    <x:t xml:space="preserve">便捷性 42.9%；愉悦与氛围感 21.4%；安全感 14.3%；舒适感 14.3%；其他 7.1%</x:t>
  </x:si>
  <x:si>
    <x:t xml:space="preserve">安全感</x:t>
  </x:si>
  <x:si>
    <x:t xml:space="preserve">安全感 44.4%；舒适感 33.3%；便捷性 11.1%；专注 11.1%</x:t>
  </x:si>
  <x:si>
    <x:t xml:space="preserve">美观与价值感 60.0%；愉悦与氛围感 40.0%</x:t>
  </x:si>
  <x:si>
    <x:t xml:space="preserve">美观与价值感 75.0%；舒适感 25.0%</x:t>
  </x:si>
  <x:si>
    <x:t xml:space="preserve">愉悦与氛围感 100.0%</x:t>
  </x:si>
  <x:si>
    <x:t xml:space="preserve">各使用场景 Kano 汇总（不含“无”场景）</x:t>
  </x:si>
  <x:si>
    <x:t xml:space="preserve">使用场景</x:t>
  </x:si>
  <x:si>
    <x:t xml:space="preserve">亲子互动陪伴</x:t>
  </x:si>
  <x:si>
    <x:t xml:space="preserve">休闲娱乐</x:t>
  </x:si>
  <x:si>
    <x:t xml:space="preserve">学习工作</x:t>
  </x:si>
  <x:si>
    <x:t xml:space="preserve">日常基础照明</x:t>
  </x:si>
  <x:si>
    <x:t xml:space="preserve">智能托管</x:t>
  </x:si>
  <x:si>
    <x:t xml:space="preserve">睡眠与起居</x:t>
  </x:si>
  <x:si>
    <x:t xml:space="preserve">标准化词对明细：使用场景 × 美学指标 × 用户感受</x:t>
  </x:si>
  <x:si>
    <x:t xml:space="preserve">美学指标</x:t>
  </x:si>
  <x:si>
    <x:t xml:space="preserve">用户感受</x:t>
  </x:si>
  <x:si>
    <x:t xml:space="preserve">全局占比</x:t>
  </x:si>
  <x:si>
    <x:t xml:space="preserve">主导情感</x:t>
  </x:si>
  <x:si>
    <x:t xml:space="preserve">无</x:t>
  </x:si>
  <x:si>
    <x:t xml:space="preserve">正向</x:t>
  </x:si>
  <x:si>
    <x:t xml:space="preserve">中性</x:t>
  </x:si>
  <x:si>
    <x:t xml:space="preserve">专注</x:t>
  </x:si>
  <x:si>
    <x:t xml:space="preserve">负向</x:t>
  </x:si>
  <x:si>
    <x:t xml:space="preserve">全局统计与高关注触点概览</x:t>
  </x:si>
  <x:si>
    <x:t xml:space="preserve">指标</x:t>
  </x:si>
  <x:si>
    <x:t xml:space="preserve">数值</x:t>
  </x:si>
  <x:si>
    <x:t xml:space="preserve">有效标注总数</x:t>
  </x:si>
  <x:si>
    <x:t xml:space="preserve">使用场景数（不含“无”）</x:t>
  </x:si>
  <x:si>
    <x:t xml:space="preserve">美学指标分类数</x:t>
  </x:si>
  <x:si>
    <x:t xml:space="preserve">用户感受分类数</x:t>
  </x:si>
  <x:si>
    <x:t xml:space="preserve">使用场景分类</x:t>
  </x:si>
  <x:si>
    <x:t xml:space="preserve">用户感受分类</x:t>
  </x:si>
  <x:si>
    <x:t xml:space="preserve">情感强度</x:t>
  </x:si>
  <x:si>
    <x:t xml:space="preserve">主场景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</x:si>
</x:sst>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%"/>
  </x:numFmts>
  <x:fonts count="3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6"/>
      <x:color rgb="FFFFFFFF"/>
      <x:name val="Microsoft YaHei"/>
    </x:font>
    <x:font>
      <x:b/>
      <x:sz val="11"/>
      <x:name val="Microsoft YaHei"/>
    </x:font>
    <x:font>
      <x:sz val="10"/>
      <x:name val="Microsoft YaHei"/>
    </x:font>
    <x:font>
      <x:b/>
      <x:sz val="10"/>
      <x:color rgb="FF006100"/>
      <x:name val="Microsoft YaHei"/>
    </x:font>
    <x:font>
      <x:b/>
      <x:sz val="10"/>
      <x:color rgb="FF9C6500"/>
      <x:name val="Microsoft YaHei"/>
    </x:font>
    <x:font>
      <x:b/>
      <x:sz val="11"/>
      <x:color rgb="FFFFFFFF"/>
      <x:name val="Microsoft YaHei"/>
    </x:font>
    <x:font>
      <x:sz val="10"/>
      <x:color rgb="FF404040"/>
      <x:name val="Microsoft YaHei"/>
    </x:font>
  </x:fonts>
  <x:fills count="4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9"/>
      </x:patternFill>
    </x:fill>
  </x:fills>
  <x:borders count="1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5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6" borderId="4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7" borderId="4" applyNumberFormat="0" applyAlignment="0" applyProtection="0">
      <x:alignment vertical="center"/>
    </x:xf>
    <x:xf numFmtId="0" fontId="17" fillId="8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0" fillId="0" borderId="0"/>
  </x:cellStyleXfs>
  <x:cellXfs count="53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 wrapText="1"/>
    </x:xf>
    <x:xf numFmtId="0" fontId="2" fillId="3" borderId="0" xfId="49" applyNumberFormat="1" applyFont="1" applyFill="1" applyBorder="1" applyAlignment="1">
      <x:alignment horizontal="center" vertical="center" wrapText="1"/>
    </x:xf>
    <x:xf numFmtId="176" fontId="0" fillId="0" borderId="0" xfId="49" applyNumberFormat="1" applyFont="1" applyFill="1" applyBorder="1"/>
    <x:xf numFmtId="0" fontId="3" fillId="4" borderId="0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horizontal="left" vertical="center"/>
    </x:xf>
    <x:xf numFmtId="0" fontId="0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25" fillId="36" borderId="0" xfId="0" applyNumberFormat="1" applyFont="1" applyFill="1" applyBorder="1"/>
    <x:xf numFmtId="0" fontId="25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26" fillId="37" borderId="0" xfId="0" applyNumberFormat="1" applyFont="1" applyFill="1" applyBorder="1"/>
    <x:xf numFmtId="0" fontId="26" fillId="37" borderId="9" xfId="0" applyNumberFormat="1" applyFont="1" applyFill="1" applyBorder="1"/>
    <x:xf numFmtId="0" fontId="27" fillId="0" borderId="0" xfId="0" applyNumberFormat="1" applyFont="1" applyFill="1" applyBorder="1"/>
    <x:xf numFmtId="0" fontId="27" fillId="0" borderId="10" xfId="0" applyNumberFormat="1" applyFont="1" applyFill="1" applyBorder="1"/>
    <x:xf numFmtId="0" fontId="27" fillId="0" borderId="10" xfId="0" applyNumberFormat="1" applyFont="1" applyFill="1" applyBorder="1" applyAlignment="1">
      <x:alignment wrapText="1"/>
    </x:xf>
    <x:xf numFmtId="0" fontId="27" fillId="38" borderId="10" xfId="0" applyNumberFormat="1" applyFont="1" applyFill="1" applyBorder="1" applyAlignment="1">
      <x:alignment wrapText="1"/>
    </x:xf>
    <x:xf numFmtId="0" fontId="28" fillId="38" borderId="10" xfId="0" applyNumberFormat="1" applyFont="1" applyFill="1" applyBorder="1" applyAlignment="1">
      <x:alignment wrapText="1"/>
    </x:xf>
    <x:xf numFmtId="0" fontId="28" fillId="38" borderId="10" xfId="0" applyNumberFormat="1" applyFont="1" applyFill="1" applyBorder="1" applyAlignment="1">
      <x:alignment horizontal="center" wrapText="1"/>
    </x:xf>
    <x:xf numFmtId="0" fontId="27" fillId="39" borderId="10" xfId="0" applyNumberFormat="1" applyFont="1" applyFill="1" applyBorder="1" applyAlignment="1">
      <x:alignment wrapText="1"/>
    </x:xf>
    <x:xf numFmtId="0" fontId="29" fillId="39" borderId="10" xfId="0" applyNumberFormat="1" applyFont="1" applyFill="1" applyBorder="1" applyAlignment="1">
      <x:alignment wrapText="1"/>
    </x:xf>
    <x:xf numFmtId="0" fontId="29" fillId="39" borderId="10" xfId="0" applyNumberFormat="1" applyFont="1" applyFill="1" applyBorder="1" applyAlignment="1">
      <x:alignment horizontal="center" wrapText="1"/>
    </x:xf>
    <x:xf numFmtId="0" fontId="0" fillId="40" borderId="0" xfId="0" applyNumberFormat="1" applyFont="1" applyFill="1" applyBorder="1"/>
    <x:xf numFmtId="0" fontId="30" fillId="40" borderId="0" xfId="0" applyNumberFormat="1" applyFont="1" applyFill="1" applyBorder="1"/>
    <x:xf numFmtId="0" fontId="0" fillId="41" borderId="0" xfId="0" applyNumberFormat="1" applyFont="1" applyFill="1" applyBorder="1"/>
    <x:xf numFmtId="0" fontId="31" fillId="41" borderId="0" xfId="0" applyNumberFormat="1" applyFont="1" applyFill="1" applyBorder="1"/>
    <x:xf numFmtId="0" fontId="31" fillId="41" borderId="11" xfId="0" applyNumberFormat="1" applyFont="1" applyFill="1" applyBorder="1"/>
    <x:xf numFmtId="0" fontId="31" fillId="41" borderId="12" xfId="0" applyNumberFormat="1" applyFont="1" applyFill="1" applyBorder="1"/>
    <x:xf numFmtId="0" fontId="31" fillId="41" borderId="13" xfId="0" applyNumberFormat="1" applyFont="1" applyFill="1" applyBorder="1"/>
    <x:xf numFmtId="0" fontId="31" fillId="41" borderId="14" xfId="0" applyNumberFormat="1" applyFont="1" applyFill="1" applyBorder="1"/>
    <x:xf numFmtId="0" fontId="31" fillId="41" borderId="15" xfId="0" applyNumberFormat="1" applyFont="1" applyFill="1" applyBorder="1"/>
    <x:xf numFmtId="0" fontId="31" fillId="41" borderId="16" xfId="0" applyNumberFormat="1" applyFont="1" applyFill="1" applyBorder="1"/>
    <x:xf numFmtId="0" fontId="31" fillId="41" borderId="17" xfId="0" applyNumberFormat="1" applyFont="1" applyFill="1" applyBorder="1"/>
    <x:xf numFmtId="0" fontId="31" fillId="41" borderId="18" xfId="0" applyNumberFormat="1" applyFont="1" applyFill="1" applyBorder="1"/>
    <x:xf numFmtId="0" fontId="31" fillId="41" borderId="11" xfId="0" applyNumberFormat="1" applyFont="1" applyFill="1" applyBorder="1" applyAlignment="1">
      <x:alignment wrapText="1"/>
    </x:xf>
    <x:xf numFmtId="0" fontId="31" fillId="41" borderId="12" xfId="0" applyNumberFormat="1" applyFont="1" applyFill="1" applyBorder="1" applyAlignment="1">
      <x:alignment wrapText="1"/>
    </x:xf>
    <x:xf numFmtId="0" fontId="31" fillId="41" borderId="13" xfId="0" applyNumberFormat="1" applyFont="1" applyFill="1" applyBorder="1" applyAlignment="1">
      <x:alignment wrapText="1"/>
    </x:xf>
    <x:xf numFmtId="0" fontId="31" fillId="41" borderId="14" xfId="0" applyNumberFormat="1" applyFont="1" applyFill="1" applyBorder="1" applyAlignment="1">
      <x:alignment wrapText="1"/>
    </x:xf>
    <x:xf numFmtId="0" fontId="31" fillId="41" borderId="0" xfId="0" applyNumberFormat="1" applyFont="1" applyFill="1" applyBorder="1" applyAlignment="1">
      <x:alignment wrapText="1"/>
    </x:xf>
    <x:xf numFmtId="0" fontId="31" fillId="41" borderId="15" xfId="0" applyNumberFormat="1" applyFont="1" applyFill="1" applyBorder="1" applyAlignment="1">
      <x:alignment wrapText="1"/>
    </x:xf>
    <x:xf numFmtId="0" fontId="31" fillId="41" borderId="16" xfId="0" applyNumberFormat="1" applyFont="1" applyFill="1" applyBorder="1" applyAlignment="1">
      <x:alignment wrapText="1"/>
    </x:xf>
    <x:xf numFmtId="0" fontId="31" fillId="41" borderId="17" xfId="0" applyNumberFormat="1" applyFont="1" applyFill="1" applyBorder="1" applyAlignment="1">
      <x:alignment wrapText="1"/>
    </x:xf>
    <x:xf numFmtId="0" fontId="31" fillId="41" borderId="18" xfId="0" applyNumberFormat="1" applyFont="1" applyFill="1" applyBorder="1" applyAlignment="1">
      <x:alignment wrapText="1"/>
    </x:xf>
    <x:xf numFmtId="0" fontId="31" fillId="41" borderId="11" xfId="0" applyNumberFormat="1" applyFont="1" applyFill="1" applyBorder="1" applyAlignment="1">
      <x:alignment vertical="top" wrapText="1"/>
    </x:xf>
    <x:xf numFmtId="0" fontId="31" fillId="41" borderId="12" xfId="0" applyNumberFormat="1" applyFont="1" applyFill="1" applyBorder="1" applyAlignment="1">
      <x:alignment vertical="top" wrapText="1"/>
    </x:xf>
    <x:xf numFmtId="0" fontId="31" fillId="41" borderId="13" xfId="0" applyNumberFormat="1" applyFont="1" applyFill="1" applyBorder="1" applyAlignment="1">
      <x:alignment vertical="top" wrapText="1"/>
    </x:xf>
    <x:xf numFmtId="0" fontId="31" fillId="41" borderId="14" xfId="0" applyNumberFormat="1" applyFont="1" applyFill="1" applyBorder="1" applyAlignment="1">
      <x:alignment vertical="top" wrapText="1"/>
    </x:xf>
    <x:xf numFmtId="0" fontId="31" fillId="41" borderId="0" xfId="0" applyNumberFormat="1" applyFont="1" applyFill="1" applyBorder="1" applyAlignment="1">
      <x:alignment vertical="top" wrapText="1"/>
    </x:xf>
    <x:xf numFmtId="0" fontId="31" fillId="41" borderId="15" xfId="0" applyNumberFormat="1" applyFont="1" applyFill="1" applyBorder="1" applyAlignment="1">
      <x:alignment vertical="top" wrapText="1"/>
    </x:xf>
    <x:xf numFmtId="0" fontId="31" fillId="41" borderId="16" xfId="0" applyNumberFormat="1" applyFont="1" applyFill="1" applyBorder="1" applyAlignment="1">
      <x:alignment vertical="top" wrapText="1"/>
    </x:xf>
    <x:xf numFmtId="0" fontId="31" fillId="41" borderId="17" xfId="0" applyNumberFormat="1" applyFont="1" applyFill="1" applyBorder="1" applyAlignment="1">
      <x:alignment vertical="top" wrapText="1"/>
    </x:xf>
    <x:xf numFmtId="0" fontId="31" fillId="41" borderId="18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5674540bb4cfc" /><Relationship Type="http://schemas.openxmlformats.org/officeDocument/2006/relationships/theme" Target="/xl/theme/theme1.xml" Id="R80835939c0184b81" /><Relationship Type="http://schemas.openxmlformats.org/officeDocument/2006/relationships/sharedStrings" Target="/xl/sharedStrings.xml" Id="Raee07f99ebaf4e9a" /><Relationship Type="http://schemas.openxmlformats.org/officeDocument/2006/relationships/worksheet" Target="/xl/worksheets/sheet1.xml" Id="Rab0f93f48391453f" /><Relationship Type="http://schemas.openxmlformats.org/officeDocument/2006/relationships/worksheet" Target="/xl/worksheets/sheet2.xml" Id="R6279554605d34e19" /><Relationship Type="http://schemas.openxmlformats.org/officeDocument/2006/relationships/worksheet" Target="/xl/worksheets/sheet3.xml" Id="R8882c46287e24d58" /><Relationship Type="http://schemas.openxmlformats.org/officeDocument/2006/relationships/worksheet" Target="/xl/worksheets/sheet4.xml" Id="R76dc28aac6d243f1" /><Relationship Type="http://schemas.openxmlformats.org/officeDocument/2006/relationships/worksheet" Target="/xl/worksheets/sheet5.xml" Id="Rc6d137b7a28c45ab" /><Relationship Type="http://schemas.openxmlformats.org/officeDocument/2006/relationships/worksheet" Target="/xl/worksheets/sheet6.xml" Id="R7167037d1f9d414b" /><Relationship Type="http://schemas.openxmlformats.org/officeDocument/2006/relationships/worksheet" Target="/xl/worksheets/sheet7.xml" Id="R2ed8c5363f304a2c" /><Relationship Type="http://schemas.openxmlformats.org/officeDocument/2006/relationships/worksheet" Target="/xl/worksheets/sheet8.xml" Id="R53f270555157462d" /><Relationship Type="http://schemas.openxmlformats.org/officeDocument/2006/relationships/worksheet" Target="/xl/worksheets/sheet9.xml" Id="R6b3a30d65ba34af7" /><Relationship Type="http://schemas.openxmlformats.org/officeDocument/2006/relationships/worksheet" Target="/xl/worksheets/sheet10.xml" Id="R4797cfe19e97452f" /><Relationship Type="http://schemas.openxmlformats.org/officeDocument/2006/relationships/worksheet" Target="/xl/worksheets/sheet11.xml" Id="Rf233b09631ca46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" customWidth="1"/>
    <x:col min="2" max="2" width="90" customWidth="1"/>
    <x:col min="4" max="5" width="24" customWidth="1"/>
  </x:cols>
  <x:sheetData>
    <x:row r="1" ht="20">
      <x:c r="A1" s="5" t="s">
        <x:v>0</x:v>
      </x:c>
      <x:c r="B1" s="5"/>
      <x:c r="C1" s="5"/>
      <x:c r="D1" s="5"/>
      <x:c r="E1" s="5"/>
      <x:c r="F1" s="5"/>
      <x:c r="G1" s="5"/>
      <x:c r="H1" s="5"/>
    </x:row>
    <x:row r="3">
      <x:c r="A3" s="2" t="s">
        <x:v>1</x:v>
      </x:c>
      <x:c r="B3" s="2" t="s">
        <x:v>2</x:v>
      </x:c>
      <x:c r="D3" s="2" t="s">
        <x:v>3</x:v>
      </x:c>
      <x:c r="E3" s="2" t="s">
        <x:v>4</x:v>
      </x:c>
    </x:row>
    <x:row r="4">
      <x:c r="A4" s="6" t="s">
        <x:v>5</x:v>
      </x:c>
      <x:c r="B4" s="6" t="s">
        <x:v>6</x:v>
      </x:c>
      <x:c r="D4" t="s">
        <x:v>7</x:v>
      </x:c>
      <x:c r="E4" t="s">
        <x:v>8</x:v>
      </x:c>
    </x:row>
    <x:row r="5" ht="28">
      <x:c r="A5" s="6" t="s">
        <x:v>9</x:v>
      </x:c>
      <x:c r="B5" s="6" t="s">
        <x:v>10</x:v>
      </x:c>
      <x:c r="D5" t="s">
        <x:v>11</x:v>
      </x:c>
      <x:c r="E5" t="s">
        <x:v>8</x:v>
      </x:c>
    </x:row>
    <x:row r="6">
      <x:c r="A6" s="6" t="s">
        <x:v>12</x:v>
      </x:c>
      <x:c r="B6" s="6" t="s">
        <x:v>13</x:v>
      </x:c>
      <x:c r="D6" t="s">
        <x:v>14</x:v>
      </x:c>
      <x:c r="E6" t="s">
        <x:v>8</x:v>
      </x:c>
    </x:row>
    <x:row r="7">
      <x:c r="A7" s="6" t="s">
        <x:v>15</x:v>
      </x:c>
      <x:c r="B7" s="6" t="s">
        <x:v>16</x:v>
      </x:c>
      <x:c r="D7" t="s">
        <x:v>17</x:v>
      </x:c>
      <x:c r="E7" t="s">
        <x:v>8</x:v>
      </x:c>
    </x:row>
    <x:row r="8">
      <x:c r="A8" s="6" t="s">
        <x:v>18</x:v>
      </x:c>
      <x:c r="B8" s="6" t="s">
        <x:v>19</x:v>
      </x:c>
      <x:c r="D8" t="s">
        <x:v>20</x:v>
      </x:c>
      <x:c r="E8" t="s">
        <x:v>21</x:v>
      </x:c>
    </x:row>
    <x:row r="9">
      <x:c r="A9" s="6" t="s">
        <x:v>22</x:v>
      </x:c>
      <x:c r="B9" s="6" t="s">
        <x:v>23</x:v>
      </x:c>
      <x:c r="D9" t="s">
        <x:v>24</x:v>
      </x:c>
      <x:c r="E9" t="s">
        <x:v>21</x:v>
      </x:c>
    </x:row>
    <x:row r="10">
      <x:c r="A10" s="6" t="s">
        <x:v>25</x:v>
      </x:c>
      <x:c r="B10" s="6" t="s">
        <x:v>26</x:v>
      </x:c>
      <x:c r="D10" t="s">
        <x:v>27</x:v>
      </x:c>
      <x:c r="E10" t="s">
        <x:v>28</x:v>
      </x:c>
    </x:row>
    <x:row r="11">
      <x:c r="A11" s="7" t="s">
        <x:v>29</x:v>
      </x:c>
      <x:c r="B11" s="6" t="s">
        <x:v>30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1" width="20" customWidth="1"/>
    <x:col min="2" max="2" width="16" customWidth="1"/>
    <x:col min="3" max="3" width="10" customWidth="1"/>
    <x:col min="4" max="4" width="12" customWidth="1"/>
    <x:col min="5" max="7" width="9" customWidth="1"/>
    <x:col min="8" max="10" width="10" customWidth="1"/>
    <x:col min="11" max="11" width="14" customWidth="1"/>
    <x:col min="12" max="12" width="42" customWidth="1"/>
    <x:col min="13" max="13" width="20" customWidth="1"/>
    <x:col min="14" max="14" width="14" customWidth="1"/>
    <x:col min="15" max="15" width="45" customWidth="1"/>
  </x:cols>
  <x:sheetData>
    <x:row r="1" ht="20">
      <x:c r="A1" s="1" t="s">
        <x:v>31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4" t="s">
        <x:v>32</x:v>
      </x:c>
      <x:c r="B2" s="4">
        <x:v>1093</x:v>
      </x:c>
    </x:row>
    <x:row r="4">
      <x:c r="A4" s="2" t="s">
        <x:v>4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38</x:v>
      </x:c>
      <x:c r="H4" s="2" t="s">
        <x:v>39</x:v>
      </x:c>
      <x:c r="I4" s="2" t="s">
        <x:v>40</x:v>
      </x:c>
      <x:c r="J4" s="2" t="s">
        <x:v>41</x:v>
      </x:c>
      <x:c r="K4" s="2" t="s">
        <x:v>42</x:v>
      </x:c>
      <x:c r="L4" s="2" t="s">
        <x:v>43</x:v>
      </x:c>
      <x:c r="M4" s="2" t="s">
        <x:v>44</x:v>
      </x:c>
      <x:c r="N4" s="2" t="s">
        <x:v>45</x:v>
      </x:c>
      <x:c r="O4" s="2" t="s">
        <x:v>46</x:v>
      </x:c>
    </x:row>
    <x:row r="5">
      <x:c r="A5" t="s">
        <x:v>8</x:v>
      </x:c>
      <x:c r="B5" t="s">
        <x:v>7</x:v>
      </x:c>
      <x:c r="C5">
        <x:v>437</x:v>
      </x:c>
      <x:c r="D5" s="3" t="n">
        <x:f t="shared" ref="D5:D13" si="0">C5/$B$2</x:f>
        <x:v>0.39981701738334857</x:v>
      </x:c>
      <x:c r="E5">
        <x:v>218</x:v>
      </x:c>
      <x:c r="F5">
        <x:v>194</x:v>
      </x:c>
      <x:c r="G5">
        <x:v>25</x:v>
      </x:c>
      <x:c r="H5" s="3" t="n">
        <x:f t="shared" ref="H5:H13" si="1">E5/C5</x:f>
        <x:v>0.4988558352402746</x:v>
      </x:c>
      <x:c r="I5" s="3" t="n">
        <x:f t="shared" ref="I5:I13" si="2">F5/C5</x:f>
        <x:v>0.4439359267734554</x:v>
      </x:c>
      <x:c r="J5" s="3" t="n">
        <x:f t="shared" ref="J5:J13" si="3">G5/C5</x:f>
        <x:v>0.057208237986270026</x:v>
      </x:c>
      <x:c r="K5" t="s">
        <x:v>47</x:v>
      </x:c>
      <x:c r="L5" t="s">
        <x:v>48</x:v>
      </x:c>
      <x:c r="M5" t="s">
        <x:v>15</x:v>
      </x:c>
      <x:c r="N5" t="s">
        <x:v>49</x:v>
      </x:c>
      <x:c r="O5" t="s">
        <x:v>50</x:v>
      </x:c>
    </x:row>
    <x:row r="6">
      <x:c r="A6" t="s">
        <x:v>28</x:v>
      </x:c>
      <x:c r="B6" t="s">
        <x:v>27</x:v>
      </x:c>
      <x:c r="C6">
        <x:v>134</x:v>
      </x:c>
      <x:c r="D6" s="3">
        <x:f t="shared" si="0"/>
        <x:v>0.12259835315645</x:v>
      </x:c>
      <x:c r="E6">
        <x:v>44</x:v>
      </x:c>
      <x:c r="F6">
        <x:v>87</x:v>
      </x:c>
      <x:c r="G6">
        <x:v>3</x:v>
      </x:c>
      <x:c r="H6" s="3">
        <x:f t="shared" si="1"/>
        <x:v>0.328358208955224</x:v>
      </x:c>
      <x:c r="I6" s="3">
        <x:f t="shared" si="2"/>
        <x:v>0.649253731343284</x:v>
      </x:c>
      <x:c r="J6" s="3">
        <x:f t="shared" si="3"/>
        <x:v>0.0223880597014925</x:v>
      </x:c>
      <x:c r="K6" t="s">
        <x:v>51</x:v>
      </x:c>
      <x:c r="L6" t="s">
        <x:v>52</x:v>
      </x:c>
      <x:c r="M6" t="s">
        <x:v>22</x:v>
      </x:c>
      <x:c r="N6" t="s">
        <x:v>53</x:v>
      </x:c>
      <x:c r="O6" t="s">
        <x:v>54</x:v>
      </x:c>
    </x:row>
    <x:row r="7">
      <x:c r="A7" t="s">
        <x:v>8</x:v>
      </x:c>
      <x:c r="B7" t="s">
        <x:v>55</x:v>
      </x:c>
      <x:c r="C7">
        <x:v>119</x:v>
      </x:c>
      <x:c r="D7" s="3">
        <x:f t="shared" si="0"/>
        <x:v>0.108874656907594</x:v>
      </x:c>
      <x:c r="E7">
        <x:v>67</x:v>
      </x:c>
      <x:c r="F7">
        <x:v>50</x:v>
      </x:c>
      <x:c r="G7">
        <x:v>2</x:v>
      </x:c>
      <x:c r="H7" s="3">
        <x:f t="shared" si="1"/>
        <x:v>0.563025210084034</x:v>
      </x:c>
      <x:c r="I7" s="3">
        <x:f t="shared" si="2"/>
        <x:v>0.420168067226891</x:v>
      </x:c>
      <x:c r="J7" s="3">
        <x:f t="shared" si="3"/>
        <x:v>0.0168067226890756</x:v>
      </x:c>
      <x:c r="K7" t="s">
        <x:v>56</x:v>
      </x:c>
      <x:c r="L7" t="s">
        <x:v>57</x:v>
      </x:c>
      <x:c r="M7" t="s">
        <x:v>12</x:v>
      </x:c>
      <x:c r="N7" t="s">
        <x:v>58</x:v>
      </x:c>
      <x:c r="O7" t="s">
        <x:v>59</x:v>
      </x:c>
    </x:row>
    <x:row r="8">
      <x:c r="A8" t="s">
        <x:v>8</x:v>
      </x:c>
      <x:c r="B8" t="s">
        <x:v>14</x:v>
      </x:c>
      <x:c r="C8">
        <x:v>107</x:v>
      </x:c>
      <x:c r="D8" s="3">
        <x:f t="shared" si="0"/>
        <x:v>0.0978956999085087</x:v>
      </x:c>
      <x:c r="E8">
        <x:v>44</x:v>
      </x:c>
      <x:c r="F8">
        <x:v>51</x:v>
      </x:c>
      <x:c r="G8">
        <x:v>12</x:v>
      </x:c>
      <x:c r="H8" s="3">
        <x:f t="shared" si="1"/>
        <x:v>0.411214953271028</x:v>
      </x:c>
      <x:c r="I8" s="3">
        <x:f t="shared" si="2"/>
        <x:v>0.476635514018692</x:v>
      </x:c>
      <x:c r="J8" s="3">
        <x:f t="shared" si="3"/>
        <x:v>0.11214953271028</x:v>
      </x:c>
      <x:c r="K8" t="s">
        <x:v>56</x:v>
      </x:c>
      <x:c r="L8" t="s">
        <x:v>60</x:v>
      </x:c>
      <x:c r="M8" t="s">
        <x:v>15</x:v>
      </x:c>
      <x:c r="N8" t="s">
        <x:v>49</x:v>
      </x:c>
      <x:c r="O8" t="s">
        <x:v>50</x:v>
      </x:c>
    </x:row>
    <x:row r="9">
      <x:c r="A9" t="s">
        <x:v>8</x:v>
      </x:c>
      <x:c r="B9" t="s">
        <x:v>11</x:v>
      </x:c>
      <x:c r="C9">
        <x:v>107</x:v>
      </x:c>
      <x:c r="D9" s="3">
        <x:f t="shared" si="0"/>
        <x:v>0.0978956999085087</x:v>
      </x:c>
      <x:c r="E9">
        <x:v>59</x:v>
      </x:c>
      <x:c r="F9">
        <x:v>38</x:v>
      </x:c>
      <x:c r="G9">
        <x:v>10</x:v>
      </x:c>
      <x:c r="H9" s="3">
        <x:f t="shared" si="1"/>
        <x:v>0.551401869158878</x:v>
      </x:c>
      <x:c r="I9" s="3">
        <x:f t="shared" si="2"/>
        <x:v>0.355140186915888</x:v>
      </x:c>
      <x:c r="J9" s="3">
        <x:f t="shared" si="3"/>
        <x:v>0.0934579439252336</x:v>
      </x:c>
      <x:c r="K9" t="s">
        <x:v>47</x:v>
      </x:c>
      <x:c r="L9" t="s">
        <x:v>61</x:v>
      </x:c>
      <x:c r="M9" t="s">
        <x:v>15</x:v>
      </x:c>
      <x:c r="N9" t="s">
        <x:v>49</x:v>
      </x:c>
      <x:c r="O9" t="s">
        <x:v>50</x:v>
      </x:c>
    </x:row>
    <x:row r="10">
      <x:c r="A10" t="s">
        <x:v>21</x:v>
      </x:c>
      <x:c r="B10" t="s">
        <x:v>24</x:v>
      </x:c>
      <x:c r="C10">
        <x:v>54</x:v>
      </x:c>
      <x:c r="D10" s="3">
        <x:f t="shared" si="0"/>
        <x:v>0.0494053064958829</x:v>
      </x:c>
      <x:c r="E10">
        <x:v>21</x:v>
      </x:c>
      <x:c r="F10">
        <x:v>31</x:v>
      </x:c>
      <x:c r="G10">
        <x:v>2</x:v>
      </x:c>
      <x:c r="H10" s="3">
        <x:f t="shared" si="1"/>
        <x:v>0.388888888888889</x:v>
      </x:c>
      <x:c r="I10" s="3">
        <x:f t="shared" si="2"/>
        <x:v>0.574074074074074</x:v>
      </x:c>
      <x:c r="J10" s="3">
        <x:f t="shared" si="3"/>
        <x:v>0.037037037037037</x:v>
      </x:c>
      <x:c r="K10" t="s">
        <x:v>56</x:v>
      </x:c>
      <x:c r="L10" t="s">
        <x:v>62</x:v>
      </x:c>
      <x:c r="M10" t="s">
        <x:v>12</x:v>
      </x:c>
      <x:c r="N10" t="s">
        <x:v>63</x:v>
      </x:c>
      <x:c r="O10" t="s">
        <x:v>59</x:v>
      </x:c>
    </x:row>
    <x:row r="11">
      <x:c r="A11" t="s">
        <x:v>8</x:v>
      </x:c>
      <x:c r="B11" t="s">
        <x:v>17</x:v>
      </x:c>
      <x:c r="C11">
        <x:v>52</x:v>
      </x:c>
      <x:c r="D11" s="3">
        <x:f t="shared" si="0"/>
        <x:v>0.0475754803293687</x:v>
      </x:c>
      <x:c r="E11">
        <x:v>30</x:v>
      </x:c>
      <x:c r="F11">
        <x:v>19</x:v>
      </x:c>
      <x:c r="G11">
        <x:v>3</x:v>
      </x:c>
      <x:c r="H11" s="3">
        <x:f t="shared" si="1"/>
        <x:v>0.576923076923077</x:v>
      </x:c>
      <x:c r="I11" s="3">
        <x:f t="shared" si="2"/>
        <x:v>0.365384615384615</x:v>
      </x:c>
      <x:c r="J11" s="3">
        <x:f t="shared" si="3"/>
        <x:v>0.0576923076923077</x:v>
      </x:c>
      <x:c r="K11" t="s">
        <x:v>64</x:v>
      </x:c>
      <x:c r="L11" t="s">
        <x:v>65</x:v>
      </x:c>
      <x:c r="M11" t="s">
        <x:v>12</x:v>
      </x:c>
      <x:c r="N11" t="s">
        <x:v>58</x:v>
      </x:c>
      <x:c r="O11" t="s">
        <x:v>59</x:v>
      </x:c>
    </x:row>
    <x:row r="12">
      <x:c r="A12" t="s">
        <x:v>21</x:v>
      </x:c>
      <x:c r="B12" t="s">
        <x:v>20</x:v>
      </x:c>
      <x:c r="C12">
        <x:v>45</x:v>
      </x:c>
      <x:c r="D12" s="3">
        <x:f t="shared" si="0"/>
        <x:v>0.0411710887465691</x:v>
      </x:c>
      <x:c r="E12">
        <x:v>14</x:v>
      </x:c>
      <x:c r="F12">
        <x:v>28</x:v>
      </x:c>
      <x:c r="G12">
        <x:v>3</x:v>
      </x:c>
      <x:c r="H12" s="3">
        <x:f t="shared" si="1"/>
        <x:v>0.311111111111111</x:v>
      </x:c>
      <x:c r="I12" s="3">
        <x:f t="shared" si="2"/>
        <x:v>0.622222222222222</x:v>
      </x:c>
      <x:c r="J12" s="3">
        <x:f t="shared" si="3"/>
        <x:v>0.0666666666666667</x:v>
      </x:c>
      <x:c r="K12" t="s">
        <x:v>56</x:v>
      </x:c>
      <x:c r="L12" t="s">
        <x:v>66</x:v>
      </x:c>
      <x:c r="M12" t="s">
        <x:v>15</x:v>
      </x:c>
      <x:c r="N12" t="s">
        <x:v>67</x:v>
      </x:c>
      <x:c r="O12" t="s">
        <x:v>50</x:v>
      </x:c>
    </x:row>
    <x:row r="13">
      <x:c r="A13" t="s">
        <x:v>8</x:v>
      </x:c>
      <x:c r="B13" t="s">
        <x:v>68</x:v>
      </x:c>
      <x:c r="C13">
        <x:v>38</x:v>
      </x:c>
      <x:c r="D13" s="3">
        <x:f t="shared" si="0"/>
        <x:v>0.0347666971637694</x:v>
      </x:c>
      <x:c r="E13">
        <x:v>14</x:v>
      </x:c>
      <x:c r="F13">
        <x:v>23</x:v>
      </x:c>
      <x:c r="G13">
        <x:v>1</x:v>
      </x:c>
      <x:c r="H13" s="3">
        <x:f t="shared" si="1"/>
        <x:v>0.368421052631579</x:v>
      </x:c>
      <x:c r="I13" s="3">
        <x:f t="shared" si="2"/>
        <x:v>0.605263157894737</x:v>
      </x:c>
      <x:c r="J13" s="3">
        <x:f t="shared" si="3"/>
        <x:v>0.0263157894736842</x:v>
      </x:c>
      <x:c r="K13" t="s">
        <x:v>56</x:v>
      </x:c>
      <x:c r="L13" t="s">
        <x:v>69</x:v>
      </x:c>
      <x:c r="M13" t="s">
        <x:v>12</x:v>
      </x:c>
      <x:c r="N13" t="s">
        <x:v>63</x:v>
      </x:c>
      <x:c r="O13" t="s">
        <x:v>59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20" customWidth="1"/>
    <x:col min="2" max="2" width="16" customWidth="1"/>
    <x:col min="3" max="3" width="10" customWidth="1"/>
    <x:col min="4" max="4" width="12" customWidth="1"/>
    <x:col min="5" max="7" width="9" customWidth="1"/>
    <x:col min="8" max="10" width="10" customWidth="1"/>
    <x:col min="11" max="11" width="14" customWidth="1"/>
    <x:col min="12" max="12" width="42" customWidth="1"/>
    <x:col min="13" max="13" width="20" customWidth="1"/>
    <x:col min="14" max="14" width="14" customWidth="1"/>
    <x:col min="15" max="15" width="45" customWidth="1"/>
  </x:cols>
  <x:sheetData>
    <x:row r="1" ht="20">
      <x:c r="A1" s="1" t="s">
        <x:v>70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4" t="s">
        <x:v>32</x:v>
      </x:c>
      <x:c r="B2" s="4">
        <x:v>433</x:v>
      </x:c>
    </x:row>
    <x:row r="4">
      <x:c r="A4" s="2" t="s">
        <x:v>4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38</x:v>
      </x:c>
      <x:c r="H4" s="2" t="s">
        <x:v>39</x:v>
      </x:c>
      <x:c r="I4" s="2" t="s">
        <x:v>40</x:v>
      </x:c>
      <x:c r="J4" s="2" t="s">
        <x:v>41</x:v>
      </x:c>
      <x:c r="K4" s="2" t="s">
        <x:v>42</x:v>
      </x:c>
      <x:c r="L4" s="2" t="s">
        <x:v>43</x:v>
      </x:c>
      <x:c r="M4" s="2" t="s">
        <x:v>44</x:v>
      </x:c>
      <x:c r="N4" s="2" t="s">
        <x:v>45</x:v>
      </x:c>
      <x:c r="O4" s="2" t="s">
        <x:v>46</x:v>
      </x:c>
    </x:row>
    <x:row r="5">
      <x:c r="A5" t="s">
        <x:v>8</x:v>
      </x:c>
      <x:c r="B5" t="s">
        <x:v>7</x:v>
      </x:c>
      <x:c r="C5">
        <x:v>244</x:v>
      </x:c>
      <x:c r="D5" s="3" t="n">
        <x:f t="shared" ref="D5:D13" si="0">C5/$B$2</x:f>
        <x:v>0.5635103926096998</x:v>
      </x:c>
      <x:c r="E5">
        <x:v>111</x:v>
      </x:c>
      <x:c r="F5">
        <x:v>104</x:v>
      </x:c>
      <x:c r="G5">
        <x:v>29</x:v>
      </x:c>
      <x:c r="H5" s="3" t="n">
        <x:f t="shared" ref="H5:H13" si="1">E5/C5</x:f>
        <x:v>0.45491803278688525</x:v>
      </x:c>
      <x:c r="I5" s="3" t="n">
        <x:f t="shared" ref="I5:I13" si="2">F5/C5</x:f>
        <x:v>0.4262295081967213</x:v>
      </x:c>
      <x:c r="J5" s="3" t="n">
        <x:f t="shared" ref="J5:J13" si="3">G5/C5</x:f>
        <x:v>0.11885245901639344</x:v>
      </x:c>
      <x:c r="K5" t="s">
        <x:v>47</x:v>
      </x:c>
      <x:c r="L5" t="s">
        <x:v>71</x:v>
      </x:c>
      <x:c r="M5" t="s">
        <x:v>15</x:v>
      </x:c>
      <x:c r="N5" t="s">
        <x:v>49</x:v>
      </x:c>
      <x:c r="O5" t="s">
        <x:v>50</x:v>
      </x:c>
    </x:row>
    <x:row r="6">
      <x:c r="A6" t="s">
        <x:v>28</x:v>
      </x:c>
      <x:c r="B6" t="s">
        <x:v>27</x:v>
      </x:c>
      <x:c r="C6">
        <x:v>93</x:v>
      </x:c>
      <x:c r="D6" s="3">
        <x:f t="shared" si="0"/>
        <x:v>0.214780600461894</x:v>
      </x:c>
      <x:c r="E6">
        <x:v>34</x:v>
      </x:c>
      <x:c r="F6">
        <x:v>56</x:v>
      </x:c>
      <x:c r="G6">
        <x:v>3</x:v>
      </x:c>
      <x:c r="H6" s="3">
        <x:f t="shared" si="1"/>
        <x:v>0.365591397849462</x:v>
      </x:c>
      <x:c r="I6" s="3">
        <x:f t="shared" si="2"/>
        <x:v>0.602150537634409</x:v>
      </x:c>
      <x:c r="J6" s="3">
        <x:f t="shared" si="3"/>
        <x:v>0.032258064516129</x:v>
      </x:c>
      <x:c r="K6" t="s">
        <x:v>51</x:v>
      </x:c>
      <x:c r="L6" t="s">
        <x:v>72</x:v>
      </x:c>
      <x:c r="M6" t="s">
        <x:v>12</x:v>
      </x:c>
      <x:c r="N6" t="s">
        <x:v>58</x:v>
      </x:c>
      <x:c r="O6" t="s">
        <x:v>59</x:v>
      </x:c>
    </x:row>
    <x:row r="7">
      <x:c r="A7" t="s">
        <x:v>8</x:v>
      </x:c>
      <x:c r="B7" t="s">
        <x:v>14</x:v>
      </x:c>
      <x:c r="C7">
        <x:v>21</x:v>
      </x:c>
      <x:c r="D7" s="3">
        <x:f t="shared" si="0"/>
        <x:v>0.0484988452655889</x:v>
      </x:c>
      <x:c r="E7">
        <x:v>14</x:v>
      </x:c>
      <x:c r="F7">
        <x:v>6</x:v>
      </x:c>
      <x:c r="G7">
        <x:v>1</x:v>
      </x:c>
      <x:c r="H7" s="3">
        <x:f t="shared" si="1"/>
        <x:v>0.666666666666667</x:v>
      </x:c>
      <x:c r="I7" s="3">
        <x:f t="shared" si="2"/>
        <x:v>0.285714285714286</x:v>
      </x:c>
      <x:c r="J7" s="3">
        <x:f t="shared" si="3"/>
        <x:v>0.0476190476190476</x:v>
      </x:c>
      <x:c r="K7" t="s">
        <x:v>56</x:v>
      </x:c>
      <x:c r="L7" t="s">
        <x:v>73</x:v>
      </x:c>
      <x:c r="M7" t="s">
        <x:v>12</x:v>
      </x:c>
      <x:c r="N7" t="s">
        <x:v>58</x:v>
      </x:c>
      <x:c r="O7" t="s">
        <x:v>59</x:v>
      </x:c>
    </x:row>
    <x:row r="8">
      <x:c r="A8" t="s">
        <x:v>8</x:v>
      </x:c>
      <x:c r="B8" t="s">
        <x:v>11</x:v>
      </x:c>
      <x:c r="C8">
        <x:v>20</x:v>
      </x:c>
      <x:c r="D8" s="3">
        <x:f t="shared" si="0"/>
        <x:v>0.046189376443418</x:v>
      </x:c>
      <x:c r="E8">
        <x:v>10</x:v>
      </x:c>
      <x:c r="F8">
        <x:v>9</x:v>
      </x:c>
      <x:c r="G8">
        <x:v>1</x:v>
      </x:c>
      <x:c r="H8" s="3">
        <x:f t="shared" si="1"/>
        <x:v>0.5</x:v>
      </x:c>
      <x:c r="I8" s="3">
        <x:f t="shared" si="2"/>
        <x:v>0.45</x:v>
      </x:c>
      <x:c r="J8" s="3">
        <x:f t="shared" si="3"/>
        <x:v>0.05</x:v>
      </x:c>
      <x:c r="K8" t="s">
        <x:v>47</x:v>
      </x:c>
      <x:c r="L8" t="s">
        <x:v>74</x:v>
      </x:c>
      <x:c r="M8" t="s">
        <x:v>15</x:v>
      </x:c>
      <x:c r="N8" t="s">
        <x:v>67</x:v>
      </x:c>
      <x:c r="O8" t="s">
        <x:v>50</x:v>
      </x:c>
    </x:row>
    <x:row r="9">
      <x:c r="A9" t="s">
        <x:v>8</x:v>
      </x:c>
      <x:c r="B9" t="s">
        <x:v>68</x:v>
      </x:c>
      <x:c r="C9">
        <x:v>17</x:v>
      </x:c>
      <x:c r="D9" s="3">
        <x:f t="shared" si="0"/>
        <x:v>0.0392609699769053</x:v>
      </x:c>
      <x:c r="E9">
        <x:v>7</x:v>
      </x:c>
      <x:c r="F9">
        <x:v>10</x:v>
      </x:c>
      <x:c r="G9">
        <x:v>0</x:v>
      </x:c>
      <x:c r="H9" s="3">
        <x:f t="shared" si="1"/>
        <x:v>0.411764705882353</x:v>
      </x:c>
      <x:c r="I9" s="3">
        <x:f t="shared" si="2"/>
        <x:v>0.588235294117647</x:v>
      </x:c>
      <x:c r="J9" s="3">
        <x:f t="shared" si="3"/>
        <x:v>0</x:v>
      </x:c>
      <x:c r="K9" t="s">
        <x:v>56</x:v>
      </x:c>
      <x:c r="L9" t="s">
        <x:v>75</x:v>
      </x:c>
      <x:c r="M9" t="s">
        <x:v>12</x:v>
      </x:c>
      <x:c r="N9" t="s">
        <x:v>63</x:v>
      </x:c>
      <x:c r="O9" t="s">
        <x:v>59</x:v>
      </x:c>
    </x:row>
    <x:row r="10">
      <x:c r="A10" t="s">
        <x:v>8</x:v>
      </x:c>
      <x:c r="B10" t="s">
        <x:v>17</x:v>
      </x:c>
      <x:c r="C10">
        <x:v>13</x:v>
      </x:c>
      <x:c r="D10" s="3">
        <x:f t="shared" si="0"/>
        <x:v>0.0300230946882217</x:v>
      </x:c>
      <x:c r="E10">
        <x:v>8</x:v>
      </x:c>
      <x:c r="F10">
        <x:v>5</x:v>
      </x:c>
      <x:c r="G10">
        <x:v>0</x:v>
      </x:c>
      <x:c r="H10" s="3">
        <x:f t="shared" si="1"/>
        <x:v>0.615384615384615</x:v>
      </x:c>
      <x:c r="I10" s="3">
        <x:f t="shared" si="2"/>
        <x:v>0.384615384615385</x:v>
      </x:c>
      <x:c r="J10" s="3">
        <x:f t="shared" si="3"/>
        <x:v>0</x:v>
      </x:c>
      <x:c r="K10" t="s">
        <x:v>64</x:v>
      </x:c>
      <x:c r="L10" t="s">
        <x:v>76</x:v>
      </x:c>
      <x:c r="M10" t="s">
        <x:v>12</x:v>
      </x:c>
      <x:c r="N10" t="s">
        <x:v>58</x:v>
      </x:c>
      <x:c r="O10" t="s">
        <x:v>59</x:v>
      </x:c>
    </x:row>
    <x:row r="11">
      <x:c r="A11" t="s">
        <x:v>8</x:v>
      </x:c>
      <x:c r="B11" t="s">
        <x:v>55</x:v>
      </x:c>
      <x:c r="C11">
        <x:v>10</x:v>
      </x:c>
      <x:c r="D11" s="3">
        <x:f t="shared" si="0"/>
        <x:v>0.023094688221709</x:v>
      </x:c>
      <x:c r="E11">
        <x:v>8</x:v>
      </x:c>
      <x:c r="F11">
        <x:v>2</x:v>
      </x:c>
      <x:c r="G11">
        <x:v>0</x:v>
      </x:c>
      <x:c r="H11" s="3">
        <x:f t="shared" si="1"/>
        <x:v>0.8</x:v>
      </x:c>
      <x:c r="I11" s="3">
        <x:f t="shared" si="2"/>
        <x:v>0.2</x:v>
      </x:c>
      <x:c r="J11" s="3">
        <x:f t="shared" si="3"/>
        <x:v>0</x:v>
      </x:c>
      <x:c r="K11" t="s">
        <x:v>56</x:v>
      </x:c>
      <x:c r="L11" t="s">
        <x:v>77</x:v>
      </x:c>
      <x:c r="M11" t="s">
        <x:v>12</x:v>
      </x:c>
      <x:c r="N11" t="s">
        <x:v>58</x:v>
      </x:c>
      <x:c r="O11" t="s">
        <x:v>59</x:v>
      </x:c>
    </x:row>
    <x:row r="12">
      <x:c r="A12" t="s">
        <x:v>21</x:v>
      </x:c>
      <x:c r="B12" t="s">
        <x:v>24</x:v>
      </x:c>
      <x:c r="C12">
        <x:v>10</x:v>
      </x:c>
      <x:c r="D12" s="3">
        <x:f t="shared" si="0"/>
        <x:v>0.023094688221709</x:v>
      </x:c>
      <x:c r="E12">
        <x:v>3</x:v>
      </x:c>
      <x:c r="F12">
        <x:v>7</x:v>
      </x:c>
      <x:c r="G12">
        <x:v>0</x:v>
      </x:c>
      <x:c r="H12" s="3">
        <x:f t="shared" si="1"/>
        <x:v>0.3</x:v>
      </x:c>
      <x:c r="I12" s="3">
        <x:f t="shared" si="2"/>
        <x:v>0.7</x:v>
      </x:c>
      <x:c r="J12" s="3">
        <x:f t="shared" si="3"/>
        <x:v>0</x:v>
      </x:c>
      <x:c r="K12" t="s">
        <x:v>56</x:v>
      </x:c>
      <x:c r="L12" t="s">
        <x:v>78</x:v>
      </x:c>
      <x:c r="M12" t="s">
        <x:v>22</x:v>
      </x:c>
      <x:c r="N12" t="s">
        <x:v>53</x:v>
      </x:c>
      <x:c r="O12" t="s">
        <x:v>54</x:v>
      </x:c>
    </x:row>
    <x:row r="13">
      <x:c r="A13" t="s">
        <x:v>21</x:v>
      </x:c>
      <x:c r="B13" t="s">
        <x:v>20</x:v>
      </x:c>
      <x:c r="C13">
        <x:v>5</x:v>
      </x:c>
      <x:c r="D13" s="3">
        <x:f t="shared" si="0"/>
        <x:v>0.0115473441108545</x:v>
      </x:c>
      <x:c r="E13">
        <x:v>2</x:v>
      </x:c>
      <x:c r="F13">
        <x:v>2</x:v>
      </x:c>
      <x:c r="G13">
        <x:v>1</x:v>
      </x:c>
      <x:c r="H13" s="3">
        <x:f t="shared" si="1"/>
        <x:v>0.4</x:v>
      </x:c>
      <x:c r="I13" s="3">
        <x:f t="shared" si="2"/>
        <x:v>0.4</x:v>
      </x:c>
      <x:c r="J13" s="3">
        <x:f t="shared" si="3"/>
        <x:v>0.2</x:v>
      </x:c>
      <x:c r="K13" t="s">
        <x:v>56</x:v>
      </x:c>
      <x:c r="L13" t="s">
        <x:v>79</x:v>
      </x:c>
      <x:c r="M13" t="s">
        <x:v>15</x:v>
      </x:c>
      <x:c r="N13" t="s">
        <x:v>49</x:v>
      </x:c>
      <x:c r="O13" t="s">
        <x:v>50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"/>
  <x:cols>
    <x:col min="1" max="1" width="20" customWidth="1"/>
    <x:col min="2" max="2" width="16" customWidth="1"/>
    <x:col min="3" max="3" width="10" customWidth="1"/>
    <x:col min="4" max="4" width="12" customWidth="1"/>
    <x:col min="5" max="7" width="9" customWidth="1"/>
    <x:col min="8" max="10" width="10" customWidth="1"/>
    <x:col min="11" max="11" width="14" customWidth="1"/>
    <x:col min="12" max="12" width="42" customWidth="1"/>
    <x:col min="13" max="13" width="20" customWidth="1"/>
    <x:col min="14" max="14" width="14" customWidth="1"/>
    <x:col min="15" max="15" width="45" customWidth="1"/>
  </x:cols>
  <x:sheetData>
    <x:row r="1" ht="20">
      <x:c r="A1" s="1" t="s">
        <x:v>80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4" t="s">
        <x:v>32</x:v>
      </x:c>
      <x:c r="B2" s="4">
        <x:v>312</x:v>
      </x:c>
    </x:row>
    <x:row r="4">
      <x:c r="A4" s="2" t="s">
        <x:v>4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38</x:v>
      </x:c>
      <x:c r="H4" s="2" t="s">
        <x:v>39</x:v>
      </x:c>
      <x:c r="I4" s="2" t="s">
        <x:v>40</x:v>
      </x:c>
      <x:c r="J4" s="2" t="s">
        <x:v>41</x:v>
      </x:c>
      <x:c r="K4" s="2" t="s">
        <x:v>42</x:v>
      </x:c>
      <x:c r="L4" s="2" t="s">
        <x:v>43</x:v>
      </x:c>
      <x:c r="M4" s="2" t="s">
        <x:v>44</x:v>
      </x:c>
      <x:c r="N4" s="2" t="s">
        <x:v>45</x:v>
      </x:c>
      <x:c r="O4" s="2" t="s">
        <x:v>46</x:v>
      </x:c>
    </x:row>
    <x:row r="5">
      <x:c r="A5" t="s">
        <x:v>8</x:v>
      </x:c>
      <x:c r="B5" t="s">
        <x:v>7</x:v>
      </x:c>
      <x:c r="C5">
        <x:v>156</x:v>
      </x:c>
      <x:c r="D5" s="3" t="n">
        <x:f t="shared" ref="D5:D13" si="0">C5/$B$2</x:f>
        <x:v>0.5</x:v>
      </x:c>
      <x:c r="E5">
        <x:v>80</x:v>
      </x:c>
      <x:c r="F5">
        <x:v>67</x:v>
      </x:c>
      <x:c r="G5">
        <x:v>9</x:v>
      </x:c>
      <x:c r="H5" s="3" t="n">
        <x:f t="shared" ref="H5:H13" si="1">E5/C5</x:f>
        <x:v>0.5128205128205128</x:v>
      </x:c>
      <x:c r="I5" s="3" t="n">
        <x:f t="shared" ref="I5:I13" si="2">F5/C5</x:f>
        <x:v>0.42948717948717946</x:v>
      </x:c>
      <x:c r="J5" s="3" t="n">
        <x:f t="shared" ref="J5:J13" si="3">G5/C5</x:f>
        <x:v>0.057692307692307696</x:v>
      </x:c>
      <x:c r="K5" t="s">
        <x:v>47</x:v>
      </x:c>
      <x:c r="L5" t="s">
        <x:v>81</x:v>
      </x:c>
      <x:c r="M5" t="s">
        <x:v>15</x:v>
      </x:c>
      <x:c r="N5" t="s">
        <x:v>49</x:v>
      </x:c>
      <x:c r="O5" t="s">
        <x:v>50</x:v>
      </x:c>
    </x:row>
    <x:row r="6">
      <x:c r="A6" t="s">
        <x:v>8</x:v>
      </x:c>
      <x:c r="B6" t="s">
        <x:v>11</x:v>
      </x:c>
      <x:c r="C6">
        <x:v>59</x:v>
      </x:c>
      <x:c r="D6" s="3">
        <x:f t="shared" si="0"/>
        <x:v>0.189102564102564</x:v>
      </x:c>
      <x:c r="E6">
        <x:v>21</x:v>
      </x:c>
      <x:c r="F6">
        <x:v>35</x:v>
      </x:c>
      <x:c r="G6">
        <x:v>3</x:v>
      </x:c>
      <x:c r="H6" s="3">
        <x:f t="shared" si="1"/>
        <x:v>0.355932203389831</x:v>
      </x:c>
      <x:c r="I6" s="3">
        <x:f t="shared" si="2"/>
        <x:v>0.593220338983051</x:v>
      </x:c>
      <x:c r="J6" s="3">
        <x:f t="shared" si="3"/>
        <x:v>0.0508474576271186</x:v>
      </x:c>
      <x:c r="K6" t="s">
        <x:v>47</x:v>
      </x:c>
      <x:c r="L6" t="s">
        <x:v>82</x:v>
      </x:c>
      <x:c r="M6" t="s">
        <x:v>15</x:v>
      </x:c>
      <x:c r="N6" t="s">
        <x:v>49</x:v>
      </x:c>
      <x:c r="O6" t="s">
        <x:v>50</x:v>
      </x:c>
    </x:row>
    <x:row r="7">
      <x:c r="A7" t="s">
        <x:v>28</x:v>
      </x:c>
      <x:c r="B7" t="s">
        <x:v>27</x:v>
      </x:c>
      <x:c r="C7">
        <x:v>47</x:v>
      </x:c>
      <x:c r="D7" s="3">
        <x:f t="shared" si="0"/>
        <x:v>0.150641025641026</x:v>
      </x:c>
      <x:c r="E7">
        <x:v>21</x:v>
      </x:c>
      <x:c r="F7">
        <x:v>26</x:v>
      </x:c>
      <x:c r="G7">
        <x:v>0</x:v>
      </x:c>
      <x:c r="H7" s="3">
        <x:f t="shared" si="1"/>
        <x:v>0.446808510638298</x:v>
      </x:c>
      <x:c r="I7" s="3">
        <x:f t="shared" si="2"/>
        <x:v>0.553191489361702</x:v>
      </x:c>
      <x:c r="J7" s="3">
        <x:f t="shared" si="3"/>
        <x:v>0</x:v>
      </x:c>
      <x:c r="K7" t="s">
        <x:v>51</x:v>
      </x:c>
      <x:c r="L7" t="s">
        <x:v>83</x:v>
      </x:c>
      <x:c r="M7" t="s">
        <x:v>12</x:v>
      </x:c>
      <x:c r="N7" t="s">
        <x:v>58</x:v>
      </x:c>
      <x:c r="O7" t="s">
        <x:v>59</x:v>
      </x:c>
    </x:row>
    <x:row r="8">
      <x:c r="A8" t="s">
        <x:v>8</x:v>
      </x:c>
      <x:c r="B8" t="s">
        <x:v>68</x:v>
      </x:c>
      <x:c r="C8">
        <x:v>15</x:v>
      </x:c>
      <x:c r="D8" s="3">
        <x:f t="shared" si="0"/>
        <x:v>0.0480769230769231</x:v>
      </x:c>
      <x:c r="E8">
        <x:v>7</x:v>
      </x:c>
      <x:c r="F8">
        <x:v>8</x:v>
      </x:c>
      <x:c r="G8">
        <x:v>0</x:v>
      </x:c>
      <x:c r="H8" s="3">
        <x:f t="shared" si="1"/>
        <x:v>0.466666666666667</x:v>
      </x:c>
      <x:c r="I8" s="3">
        <x:f t="shared" si="2"/>
        <x:v>0.533333333333333</x:v>
      </x:c>
      <x:c r="J8" s="3">
        <x:f t="shared" si="3"/>
        <x:v>0</x:v>
      </x:c>
      <x:c r="K8" t="s">
        <x:v>56</x:v>
      </x:c>
      <x:c r="L8" t="s">
        <x:v>84</x:v>
      </x:c>
      <x:c r="M8" t="s">
        <x:v>12</x:v>
      </x:c>
      <x:c r="N8" t="s">
        <x:v>63</x:v>
      </x:c>
      <x:c r="O8" t="s">
        <x:v>59</x:v>
      </x:c>
    </x:row>
    <x:row r="9">
      <x:c r="A9" t="s">
        <x:v>8</x:v>
      </x:c>
      <x:c r="B9" t="s">
        <x:v>17</x:v>
      </x:c>
      <x:c r="C9">
        <x:v>14</x:v>
      </x:c>
      <x:c r="D9" s="3">
        <x:f t="shared" si="0"/>
        <x:v>0.0448717948717949</x:v>
      </x:c>
      <x:c r="E9">
        <x:v>9</x:v>
      </x:c>
      <x:c r="F9">
        <x:v>5</x:v>
      </x:c>
      <x:c r="G9">
        <x:v>0</x:v>
      </x:c>
      <x:c r="H9" s="3">
        <x:f t="shared" si="1"/>
        <x:v>0.642857142857143</x:v>
      </x:c>
      <x:c r="I9" s="3">
        <x:f t="shared" si="2"/>
        <x:v>0.357142857142857</x:v>
      </x:c>
      <x:c r="J9" s="3">
        <x:f t="shared" si="3"/>
        <x:v>0</x:v>
      </x:c>
      <x:c r="K9" t="s">
        <x:v>64</x:v>
      </x:c>
      <x:c r="L9" t="s">
        <x:v>85</x:v>
      </x:c>
      <x:c r="M9" t="s">
        <x:v>12</x:v>
      </x:c>
      <x:c r="N9" t="s">
        <x:v>58</x:v>
      </x:c>
      <x:c r="O9" t="s">
        <x:v>59</x:v>
      </x:c>
    </x:row>
    <x:row r="10">
      <x:c r="A10" t="s">
        <x:v>8</x:v>
      </x:c>
      <x:c r="B10" t="s">
        <x:v>55</x:v>
      </x:c>
      <x:c r="C10">
        <x:v>8</x:v>
      </x:c>
      <x:c r="D10" s="3">
        <x:f t="shared" si="0"/>
        <x:v>0.0256410256410256</x:v>
      </x:c>
      <x:c r="E10">
        <x:v>4</x:v>
      </x:c>
      <x:c r="F10">
        <x:v>3</x:v>
      </x:c>
      <x:c r="G10">
        <x:v>1</x:v>
      </x:c>
      <x:c r="H10" s="3">
        <x:f t="shared" si="1"/>
        <x:v>0.5</x:v>
      </x:c>
      <x:c r="I10" s="3">
        <x:f t="shared" si="2"/>
        <x:v>0.375</x:v>
      </x:c>
      <x:c r="J10" s="3">
        <x:f t="shared" si="3"/>
        <x:v>0.125</x:v>
      </x:c>
      <x:c r="K10" t="s">
        <x:v>56</x:v>
      </x:c>
      <x:c r="L10" t="s">
        <x:v>79</x:v>
      </x:c>
      <x:c r="M10" t="s">
        <x:v>15</x:v>
      </x:c>
      <x:c r="N10" t="s">
        <x:v>49</x:v>
      </x:c>
      <x:c r="O10" t="s">
        <x:v>50</x:v>
      </x:c>
    </x:row>
    <x:row r="11">
      <x:c r="A11" t="s">
        <x:v>8</x:v>
      </x:c>
      <x:c r="B11" t="s">
        <x:v>14</x:v>
      </x:c>
      <x:c r="C11">
        <x:v>8</x:v>
      </x:c>
      <x:c r="D11" s="3">
        <x:f t="shared" si="0"/>
        <x:v>0.0256410256410256</x:v>
      </x:c>
      <x:c r="E11">
        <x:v>6</x:v>
      </x:c>
      <x:c r="F11">
        <x:v>2</x:v>
      </x:c>
      <x:c r="G11">
        <x:v>0</x:v>
      </x:c>
      <x:c r="H11" s="3">
        <x:f t="shared" si="1"/>
        <x:v>0.75</x:v>
      </x:c>
      <x:c r="I11" s="3">
        <x:f t="shared" si="2"/>
        <x:v>0.25</x:v>
      </x:c>
      <x:c r="J11" s="3">
        <x:f t="shared" si="3"/>
        <x:v>0</x:v>
      </x:c>
      <x:c r="K11" t="s">
        <x:v>56</x:v>
      </x:c>
      <x:c r="L11" t="s">
        <x:v>86</x:v>
      </x:c>
      <x:c r="M11" t="s">
        <x:v>12</x:v>
      </x:c>
      <x:c r="N11" t="s">
        <x:v>58</x:v>
      </x:c>
      <x:c r="O11" t="s">
        <x:v>59</x:v>
      </x:c>
    </x:row>
    <x:row r="12">
      <x:c r="A12" t="s">
        <x:v>21</x:v>
      </x:c>
      <x:c r="B12" t="s">
        <x:v>24</x:v>
      </x:c>
      <x:c r="C12">
        <x:v>3</x:v>
      </x:c>
      <x:c r="D12" s="3">
        <x:f t="shared" si="0"/>
        <x:v>0.00961538461538462</x:v>
      </x:c>
      <x:c r="E12">
        <x:v>2</x:v>
      </x:c>
      <x:c r="F12">
        <x:v>1</x:v>
      </x:c>
      <x:c r="G12">
        <x:v>0</x:v>
      </x:c>
      <x:c r="H12" s="3">
        <x:f t="shared" si="1"/>
        <x:v>0.666666666666667</x:v>
      </x:c>
      <x:c r="I12" s="3">
        <x:f t="shared" si="2"/>
        <x:v>0.333333333333333</x:v>
      </x:c>
      <x:c r="J12" s="3">
        <x:f t="shared" si="3"/>
        <x:v>0</x:v>
      </x:c>
      <x:c r="K12" t="s">
        <x:v>56</x:v>
      </x:c>
      <x:c r="L12" t="s">
        <x:v>87</x:v>
      </x:c>
      <x:c r="M12" t="s">
        <x:v>88</x:v>
      </x:c>
      <x:c r="N12" t="s">
        <x:v>89</x:v>
      </x:c>
      <x:c r="O12" t="s">
        <x:v>90</x:v>
      </x:c>
    </x:row>
    <x:row r="13">
      <x:c r="A13" t="s">
        <x:v>21</x:v>
      </x:c>
      <x:c r="B13" t="s">
        <x:v>20</x:v>
      </x:c>
      <x:c r="C13">
        <x:v>2</x:v>
      </x:c>
      <x:c r="D13" s="3">
        <x:f t="shared" si="0"/>
        <x:v>0.00641025641025641</x:v>
      </x:c>
      <x:c r="E13">
        <x:v>1</x:v>
      </x:c>
      <x:c r="F13">
        <x:v>1</x:v>
      </x:c>
      <x:c r="G13">
        <x:v>0</x:v>
      </x:c>
      <x:c r="H13" s="3">
        <x:f t="shared" si="1"/>
        <x:v>0.5</x:v>
      </x:c>
      <x:c r="I13" s="3">
        <x:f t="shared" si="2"/>
        <x:v>0.5</x:v>
      </x:c>
      <x:c r="J13" s="3">
        <x:f t="shared" si="3"/>
        <x:v>0</x:v>
      </x:c>
      <x:c r="K13" t="s">
        <x:v>56</x:v>
      </x:c>
      <x:c r="L13" t="s">
        <x:v>79</x:v>
      </x:c>
      <x:c r="M13" t="s">
        <x:v>88</x:v>
      </x:c>
      <x:c r="N13" t="s">
        <x:v>89</x:v>
      </x:c>
      <x:c r="O13" t="s">
        <x:v>90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"/>
  <x:cols>
    <x:col min="1" max="1" width="20" customWidth="1"/>
    <x:col min="2" max="2" width="16" customWidth="1"/>
    <x:col min="3" max="3" width="10" customWidth="1"/>
    <x:col min="4" max="4" width="12" customWidth="1"/>
    <x:col min="5" max="7" width="9" customWidth="1"/>
    <x:col min="8" max="10" width="10" customWidth="1"/>
    <x:col min="11" max="11" width="14" customWidth="1"/>
    <x:col min="12" max="12" width="42" customWidth="1"/>
    <x:col min="13" max="13" width="20" customWidth="1"/>
    <x:col min="14" max="14" width="14" customWidth="1"/>
    <x:col min="15" max="15" width="45" customWidth="1"/>
  </x:cols>
  <x:sheetData>
    <x:row r="1" ht="20">
      <x:c r="A1" s="1" t="s">
        <x:v>91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4" t="s">
        <x:v>32</x:v>
      </x:c>
      <x:c r="B2" s="4">
        <x:v>283</x:v>
      </x:c>
    </x:row>
    <x:row r="4">
      <x:c r="A4" s="2" t="s">
        <x:v>4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38</x:v>
      </x:c>
      <x:c r="H4" s="2" t="s">
        <x:v>39</x:v>
      </x:c>
      <x:c r="I4" s="2" t="s">
        <x:v>40</x:v>
      </x:c>
      <x:c r="J4" s="2" t="s">
        <x:v>41</x:v>
      </x:c>
      <x:c r="K4" s="2" t="s">
        <x:v>42</x:v>
      </x:c>
      <x:c r="L4" s="2" t="s">
        <x:v>43</x:v>
      </x:c>
      <x:c r="M4" s="2" t="s">
        <x:v>44</x:v>
      </x:c>
      <x:c r="N4" s="2" t="s">
        <x:v>45</x:v>
      </x:c>
      <x:c r="O4" s="2" t="s">
        <x:v>46</x:v>
      </x:c>
    </x:row>
    <x:row r="5">
      <x:c r="A5" t="s">
        <x:v>28</x:v>
      </x:c>
      <x:c r="B5" t="s">
        <x:v>27</x:v>
      </x:c>
      <x:c r="C5">
        <x:v>159</x:v>
      </x:c>
      <x:c r="D5" s="3" t="n">
        <x:f t="shared" ref="D5:D13" si="0">C5/$B$2</x:f>
        <x:v>0.5618374558303887</x:v>
      </x:c>
      <x:c r="E5">
        <x:v>83</x:v>
      </x:c>
      <x:c r="F5">
        <x:v>74</x:v>
      </x:c>
      <x:c r="G5">
        <x:v>2</x:v>
      </x:c>
      <x:c r="H5" s="3" t="n">
        <x:f t="shared" ref="H5:H13" si="1">E5/C5</x:f>
        <x:v>0.5220125786163522</x:v>
      </x:c>
      <x:c r="I5" s="3" t="n">
        <x:f t="shared" ref="I5:I13" si="2">F5/C5</x:f>
        <x:v>0.46540880503144655</x:v>
      </x:c>
      <x:c r="J5" s="3" t="n">
        <x:f t="shared" ref="J5:J13" si="3">G5/C5</x:f>
        <x:v>0.012578616352201259</x:v>
      </x:c>
      <x:c r="K5" t="s">
        <x:v>51</x:v>
      </x:c>
      <x:c r="L5" t="s">
        <x:v>92</x:v>
      </x:c>
      <x:c r="M5" t="s">
        <x:v>12</x:v>
      </x:c>
      <x:c r="N5" t="s">
        <x:v>58</x:v>
      </x:c>
      <x:c r="O5" t="s">
        <x:v>59</x:v>
      </x:c>
    </x:row>
    <x:row r="6">
      <x:c r="A6" t="s">
        <x:v>8</x:v>
      </x:c>
      <x:c r="B6" t="s">
        <x:v>7</x:v>
      </x:c>
      <x:c r="C6">
        <x:v>73</x:v>
      </x:c>
      <x:c r="D6" s="3">
        <x:f t="shared" si="0"/>
        <x:v>0.257950530035336</x:v>
      </x:c>
      <x:c r="E6">
        <x:v>28</x:v>
      </x:c>
      <x:c r="F6">
        <x:v>42</x:v>
      </x:c>
      <x:c r="G6">
        <x:v>3</x:v>
      </x:c>
      <x:c r="H6" s="3">
        <x:f t="shared" si="1"/>
        <x:v>0.383561643835616</x:v>
      </x:c>
      <x:c r="I6" s="3">
        <x:f t="shared" si="2"/>
        <x:v>0.575342465753425</x:v>
      </x:c>
      <x:c r="J6" s="3">
        <x:f t="shared" si="3"/>
        <x:v>0.0410958904109589</x:v>
      </x:c>
      <x:c r="K6" t="s">
        <x:v>47</x:v>
      </x:c>
      <x:c r="L6" t="s">
        <x:v>93</x:v>
      </x:c>
      <x:c r="M6" t="s">
        <x:v>12</x:v>
      </x:c>
      <x:c r="N6" t="s">
        <x:v>58</x:v>
      </x:c>
      <x:c r="O6" t="s">
        <x:v>59</x:v>
      </x:c>
    </x:row>
    <x:row r="7">
      <x:c r="A7" t="s">
        <x:v>8</x:v>
      </x:c>
      <x:c r="B7" t="s">
        <x:v>68</x:v>
      </x:c>
      <x:c r="C7">
        <x:v>14</x:v>
      </x:c>
      <x:c r="D7" s="3">
        <x:f t="shared" si="0"/>
        <x:v>0.049469964664311</x:v>
      </x:c>
      <x:c r="E7">
        <x:v>6</x:v>
      </x:c>
      <x:c r="F7">
        <x:v>8</x:v>
      </x:c>
      <x:c r="G7">
        <x:v>0</x:v>
      </x:c>
      <x:c r="H7" s="3">
        <x:f t="shared" si="1"/>
        <x:v>0.428571428571429</x:v>
      </x:c>
      <x:c r="I7" s="3">
        <x:f t="shared" si="2"/>
        <x:v>0.571428571428571</x:v>
      </x:c>
      <x:c r="J7" s="3">
        <x:f t="shared" si="3"/>
        <x:v>0</x:v>
      </x:c>
      <x:c r="K7" t="s">
        <x:v>56</x:v>
      </x:c>
      <x:c r="L7" t="s">
        <x:v>94</x:v>
      </x:c>
      <x:c r="M7" t="s">
        <x:v>12</x:v>
      </x:c>
      <x:c r="N7" t="s">
        <x:v>63</x:v>
      </x:c>
      <x:c r="O7" t="s">
        <x:v>59</x:v>
      </x:c>
    </x:row>
    <x:row r="8">
      <x:c r="A8" t="s">
        <x:v>8</x:v>
      </x:c>
      <x:c r="B8" t="s">
        <x:v>55</x:v>
      </x:c>
      <x:c r="C8">
        <x:v>13</x:v>
      </x:c>
      <x:c r="D8" s="3">
        <x:f t="shared" si="0"/>
        <x:v>0.0459363957597173</x:v>
      </x:c>
      <x:c r="E8">
        <x:v>7</x:v>
      </x:c>
      <x:c r="F8">
        <x:v>6</x:v>
      </x:c>
      <x:c r="G8">
        <x:v>0</x:v>
      </x:c>
      <x:c r="H8" s="3">
        <x:f t="shared" si="1"/>
        <x:v>0.538461538461538</x:v>
      </x:c>
      <x:c r="I8" s="3">
        <x:f t="shared" si="2"/>
        <x:v>0.461538461538462</x:v>
      </x:c>
      <x:c r="J8" s="3">
        <x:f t="shared" si="3"/>
        <x:v>0</x:v>
      </x:c>
      <x:c r="K8" t="s">
        <x:v>56</x:v>
      </x:c>
      <x:c r="L8" t="s">
        <x:v>95</x:v>
      </x:c>
      <x:c r="M8" t="s">
        <x:v>12</x:v>
      </x:c>
      <x:c r="N8" t="s">
        <x:v>63</x:v>
      </x:c>
      <x:c r="O8" t="s">
        <x:v>59</x:v>
      </x:c>
    </x:row>
    <x:row r="9">
      <x:c r="A9" t="s">
        <x:v>8</x:v>
      </x:c>
      <x:c r="B9" t="s">
        <x:v>17</x:v>
      </x:c>
      <x:c r="C9">
        <x:v>8</x:v>
      </x:c>
      <x:c r="D9" s="3">
        <x:f t="shared" si="0"/>
        <x:v>0.0282685512367491</x:v>
      </x:c>
      <x:c r="E9">
        <x:v>2</x:v>
      </x:c>
      <x:c r="F9">
        <x:v>6</x:v>
      </x:c>
      <x:c r="G9">
        <x:v>0</x:v>
      </x:c>
      <x:c r="H9" s="3">
        <x:f t="shared" si="1"/>
        <x:v>0.25</x:v>
      </x:c>
      <x:c r="I9" s="3">
        <x:f t="shared" si="2"/>
        <x:v>0.75</x:v>
      </x:c>
      <x:c r="J9" s="3">
        <x:f t="shared" si="3"/>
        <x:v>0</x:v>
      </x:c>
      <x:c r="K9" t="s">
        <x:v>64</x:v>
      </x:c>
      <x:c r="L9" t="s">
        <x:v>96</x:v>
      </x:c>
      <x:c r="M9" t="s">
        <x:v>22</x:v>
      </x:c>
      <x:c r="N9" t="s">
        <x:v>53</x:v>
      </x:c>
      <x:c r="O9" t="s">
        <x:v>54</x:v>
      </x:c>
    </x:row>
    <x:row r="10">
      <x:c r="A10" t="s">
        <x:v>8</x:v>
      </x:c>
      <x:c r="B10" t="s">
        <x:v>11</x:v>
      </x:c>
      <x:c r="C10">
        <x:v>6</x:v>
      </x:c>
      <x:c r="D10" s="3">
        <x:f t="shared" si="0"/>
        <x:v>0.0212014134275618</x:v>
      </x:c>
      <x:c r="E10">
        <x:v>2</x:v>
      </x:c>
      <x:c r="F10">
        <x:v>4</x:v>
      </x:c>
      <x:c r="G10">
        <x:v>0</x:v>
      </x:c>
      <x:c r="H10" s="3">
        <x:f t="shared" si="1"/>
        <x:v>0.333333333333333</x:v>
      </x:c>
      <x:c r="I10" s="3">
        <x:f t="shared" si="2"/>
        <x:v>0.666666666666667</x:v>
      </x:c>
      <x:c r="J10" s="3">
        <x:f t="shared" si="3"/>
        <x:v>0</x:v>
      </x:c>
      <x:c r="K10" t="s">
        <x:v>47</x:v>
      </x:c>
      <x:c r="L10" t="s">
        <x:v>97</x:v>
      </x:c>
      <x:c r="M10" t="s">
        <x:v>22</x:v>
      </x:c>
      <x:c r="N10" t="s">
        <x:v>53</x:v>
      </x:c>
      <x:c r="O10" t="s">
        <x:v>54</x:v>
      </x:c>
    </x:row>
    <x:row r="11">
      <x:c r="A11" t="s">
        <x:v>21</x:v>
      </x:c>
      <x:c r="B11" t="s">
        <x:v>20</x:v>
      </x:c>
      <x:c r="C11">
        <x:v>4</x:v>
      </x:c>
      <x:c r="D11" s="3">
        <x:f t="shared" si="0"/>
        <x:v>0.0141342756183746</x:v>
      </x:c>
      <x:c r="E11">
        <x:v>0</x:v>
      </x:c>
      <x:c r="F11">
        <x:v>4</x:v>
      </x:c>
      <x:c r="G11">
        <x:v>0</x:v>
      </x:c>
      <x:c r="H11" s="3">
        <x:f t="shared" si="1"/>
        <x:v>0</x:v>
      </x:c>
      <x:c r="I11" s="3">
        <x:f t="shared" si="2"/>
        <x:v>1</x:v>
      </x:c>
      <x:c r="J11" s="3">
        <x:f t="shared" si="3"/>
        <x:v>0</x:v>
      </x:c>
      <x:c r="K11" t="s">
        <x:v>56</x:v>
      </x:c>
      <x:c r="L11" t="s">
        <x:v>98</x:v>
      </x:c>
      <x:c r="M11" t="s">
        <x:v>88</x:v>
      </x:c>
      <x:c r="N11" t="s">
        <x:v>89</x:v>
      </x:c>
      <x:c r="O11" t="s">
        <x:v>90</x:v>
      </x:c>
    </x:row>
    <x:row r="12">
      <x:c r="A12" t="s">
        <x:v>21</x:v>
      </x:c>
      <x:c r="B12" t="s">
        <x:v>24</x:v>
      </x:c>
      <x:c r="C12">
        <x:v>3</x:v>
      </x:c>
      <x:c r="D12" s="3">
        <x:f t="shared" si="0"/>
        <x:v>0.0106007067137809</x:v>
      </x:c>
      <x:c r="E12">
        <x:v>1</x:v>
      </x:c>
      <x:c r="F12">
        <x:v>2</x:v>
      </x:c>
      <x:c r="G12">
        <x:v>0</x:v>
      </x:c>
      <x:c r="H12" s="3">
        <x:f t="shared" si="1"/>
        <x:v>0.333333333333333</x:v>
      </x:c>
      <x:c r="I12" s="3">
        <x:f t="shared" si="2"/>
        <x:v>0.666666666666667</x:v>
      </x:c>
      <x:c r="J12" s="3">
        <x:f t="shared" si="3"/>
        <x:v>0</x:v>
      </x:c>
      <x:c r="K12" t="s">
        <x:v>56</x:v>
      </x:c>
      <x:c r="L12" t="s">
        <x:v>99</x:v>
      </x:c>
      <x:c r="M12" t="s">
        <x:v>88</x:v>
      </x:c>
      <x:c r="N12" t="s">
        <x:v>89</x:v>
      </x:c>
      <x:c r="O12" t="s">
        <x:v>90</x:v>
      </x:c>
    </x:row>
    <x:row r="13">
      <x:c r="A13" t="s">
        <x:v>8</x:v>
      </x:c>
      <x:c r="B13" t="s">
        <x:v>14</x:v>
      </x:c>
      <x:c r="C13">
        <x:v>3</x:v>
      </x:c>
      <x:c r="D13" s="3">
        <x:f t="shared" si="0"/>
        <x:v>0.0106007067137809</x:v>
      </x:c>
      <x:c r="E13">
        <x:v>0</x:v>
      </x:c>
      <x:c r="F13">
        <x:v>3</x:v>
      </x:c>
      <x:c r="G13">
        <x:v>0</x:v>
      </x:c>
      <x:c r="H13" s="3">
        <x:f t="shared" si="1"/>
        <x:v>0</x:v>
      </x:c>
      <x:c r="I13" s="3">
        <x:f t="shared" si="2"/>
        <x:v>1</x:v>
      </x:c>
      <x:c r="J13" s="3">
        <x:f t="shared" si="3"/>
        <x:v>0</x:v>
      </x:c>
      <x:c r="K13" t="s">
        <x:v>51</x:v>
      </x:c>
      <x:c r="L13" t="s">
        <x:v>100</x:v>
      </x:c>
      <x:c r="M13" t="s">
        <x:v>88</x:v>
      </x:c>
      <x:c r="N13" t="s">
        <x:v>89</x:v>
      </x:c>
      <x:c r="O13" t="s">
        <x:v>90</x:v>
      </x:c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20" customWidth="1"/>
    <x:col min="2" max="2" width="16" customWidth="1"/>
    <x:col min="3" max="3" width="10" customWidth="1"/>
    <x:col min="4" max="4" width="12" customWidth="1"/>
    <x:col min="5" max="7" width="9" customWidth="1"/>
    <x:col min="8" max="10" width="10" customWidth="1"/>
    <x:col min="11" max="11" width="14" customWidth="1"/>
    <x:col min="12" max="12" width="42" customWidth="1"/>
    <x:col min="13" max="13" width="20" customWidth="1"/>
    <x:col min="14" max="14" width="14" customWidth="1"/>
    <x:col min="15" max="15" width="45" customWidth="1"/>
  </x:cols>
  <x:sheetData>
    <x:row r="1" ht="20">
      <x:c r="A1" s="1" t="s">
        <x:v>101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4" t="s">
        <x:v>32</x:v>
      </x:c>
      <x:c r="B2" s="4">
        <x:v>211</x:v>
      </x:c>
    </x:row>
    <x:row r="4">
      <x:c r="A4" s="2" t="s">
        <x:v>4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38</x:v>
      </x:c>
      <x:c r="H4" s="2" t="s">
        <x:v>39</x:v>
      </x:c>
      <x:c r="I4" s="2" t="s">
        <x:v>40</x:v>
      </x:c>
      <x:c r="J4" s="2" t="s">
        <x:v>41</x:v>
      </x:c>
      <x:c r="K4" s="2" t="s">
        <x:v>42</x:v>
      </x:c>
      <x:c r="L4" s="2" t="s">
        <x:v>43</x:v>
      </x:c>
      <x:c r="M4" s="2" t="s">
        <x:v>44</x:v>
      </x:c>
      <x:c r="N4" s="2" t="s">
        <x:v>45</x:v>
      </x:c>
      <x:c r="O4" s="2" t="s">
        <x:v>46</x:v>
      </x:c>
    </x:row>
    <x:row r="5">
      <x:c r="A5" t="s">
        <x:v>8</x:v>
      </x:c>
      <x:c r="B5" t="s">
        <x:v>7</x:v>
      </x:c>
      <x:c r="C5">
        <x:v>87</x:v>
      </x:c>
      <x:c r="D5" s="3" t="n">
        <x:f t="shared" ref="D5:D13" si="0">C5/$B$2</x:f>
        <x:v>0.41232227488151657</x:v>
      </x:c>
      <x:c r="E5">
        <x:v>50</x:v>
      </x:c>
      <x:c r="F5">
        <x:v>34</x:v>
      </x:c>
      <x:c r="G5">
        <x:v>3</x:v>
      </x:c>
      <x:c r="H5" s="3" t="n">
        <x:f t="shared" ref="H5:H13" si="1">E5/C5</x:f>
        <x:v>0.5747126436781609</x:v>
      </x:c>
      <x:c r="I5" s="3" t="n">
        <x:f t="shared" ref="I5:I13" si="2">F5/C5</x:f>
        <x:v>0.39080459770114945</x:v>
      </x:c>
      <x:c r="J5" s="3" t="n">
        <x:f t="shared" ref="J5:J13" si="3">G5/C5</x:f>
        <x:v>0.034482758620689655</x:v>
      </x:c>
      <x:c r="K5" t="s">
        <x:v>47</x:v>
      </x:c>
      <x:c r="L5" t="s">
        <x:v>102</x:v>
      </x:c>
      <x:c r="M5" t="s">
        <x:v>12</x:v>
      </x:c>
      <x:c r="N5" t="s">
        <x:v>58</x:v>
      </x:c>
      <x:c r="O5" t="s">
        <x:v>59</x:v>
      </x:c>
    </x:row>
    <x:row r="6">
      <x:c r="A6" t="s">
        <x:v>28</x:v>
      </x:c>
      <x:c r="B6" t="s">
        <x:v>27</x:v>
      </x:c>
      <x:c r="C6">
        <x:v>55</x:v>
      </x:c>
      <x:c r="D6" s="3">
        <x:f t="shared" si="0"/>
        <x:v>0.260663507109005</x:v>
      </x:c>
      <x:c r="E6">
        <x:v>30</x:v>
      </x:c>
      <x:c r="F6">
        <x:v>25</x:v>
      </x:c>
      <x:c r="G6">
        <x:v>0</x:v>
      </x:c>
      <x:c r="H6" s="3">
        <x:f t="shared" si="1"/>
        <x:v>0.545454545454545</x:v>
      </x:c>
      <x:c r="I6" s="3">
        <x:f t="shared" si="2"/>
        <x:v>0.454545454545455</x:v>
      </x:c>
      <x:c r="J6" s="3">
        <x:f t="shared" si="3"/>
        <x:v>0</x:v>
      </x:c>
      <x:c r="K6" t="s">
        <x:v>51</x:v>
      </x:c>
      <x:c r="L6" t="s">
        <x:v>103</x:v>
      </x:c>
      <x:c r="M6" t="s">
        <x:v>12</x:v>
      </x:c>
      <x:c r="N6" t="s">
        <x:v>58</x:v>
      </x:c>
      <x:c r="O6" t="s">
        <x:v>59</x:v>
      </x:c>
    </x:row>
    <x:row r="7">
      <x:c r="A7" t="s">
        <x:v>8</x:v>
      </x:c>
      <x:c r="B7" t="s">
        <x:v>17</x:v>
      </x:c>
      <x:c r="C7">
        <x:v>40</x:v>
      </x:c>
      <x:c r="D7" s="3">
        <x:f t="shared" si="0"/>
        <x:v>0.18957345971564</x:v>
      </x:c>
      <x:c r="E7">
        <x:v>18</x:v>
      </x:c>
      <x:c r="F7">
        <x:v>22</x:v>
      </x:c>
      <x:c r="G7">
        <x:v>0</x:v>
      </x:c>
      <x:c r="H7" s="3">
        <x:f t="shared" si="1"/>
        <x:v>0.45</x:v>
      </x:c>
      <x:c r="I7" s="3">
        <x:f t="shared" si="2"/>
        <x:v>0.55</x:v>
      </x:c>
      <x:c r="J7" s="3">
        <x:f t="shared" si="3"/>
        <x:v>0</x:v>
      </x:c>
      <x:c r="K7" t="s">
        <x:v>64</x:v>
      </x:c>
      <x:c r="L7" t="s">
        <x:v>104</x:v>
      </x:c>
      <x:c r="M7" t="s">
        <x:v>12</x:v>
      </x:c>
      <x:c r="N7" t="s">
        <x:v>58</x:v>
      </x:c>
      <x:c r="O7" t="s">
        <x:v>59</x:v>
      </x:c>
    </x:row>
    <x:row r="8">
      <x:c r="A8" t="s">
        <x:v>8</x:v>
      </x:c>
      <x:c r="B8" t="s">
        <x:v>11</x:v>
      </x:c>
      <x:c r="C8">
        <x:v>11</x:v>
      </x:c>
      <x:c r="D8" s="3">
        <x:f t="shared" si="0"/>
        <x:v>0.0521327014218009</x:v>
      </x:c>
      <x:c r="E8">
        <x:v>4</x:v>
      </x:c>
      <x:c r="F8">
        <x:v>5</x:v>
      </x:c>
      <x:c r="G8">
        <x:v>2</x:v>
      </x:c>
      <x:c r="H8" s="3">
        <x:f t="shared" si="1"/>
        <x:v>0.363636363636364</x:v>
      </x:c>
      <x:c r="I8" s="3">
        <x:f t="shared" si="2"/>
        <x:v>0.454545454545455</x:v>
      </x:c>
      <x:c r="J8" s="3">
        <x:f t="shared" si="3"/>
        <x:v>0.181818181818182</x:v>
      </x:c>
      <x:c r="K8" t="s">
        <x:v>47</x:v>
      </x:c>
      <x:c r="L8" t="s">
        <x:v>105</x:v>
      </x:c>
      <x:c r="M8" t="s">
        <x:v>15</x:v>
      </x:c>
      <x:c r="N8" t="s">
        <x:v>49</x:v>
      </x:c>
      <x:c r="O8" t="s">
        <x:v>50</x:v>
      </x:c>
    </x:row>
    <x:row r="9">
      <x:c r="A9" t="s">
        <x:v>8</x:v>
      </x:c>
      <x:c r="B9" t="s">
        <x:v>14</x:v>
      </x:c>
      <x:c r="C9">
        <x:v>6</x:v>
      </x:c>
      <x:c r="D9" s="3">
        <x:f t="shared" si="0"/>
        <x:v>0.028436018957346</x:v>
      </x:c>
      <x:c r="E9">
        <x:v>3</x:v>
      </x:c>
      <x:c r="F9">
        <x:v>3</x:v>
      </x:c>
      <x:c r="G9">
        <x:v>0</x:v>
      </x:c>
      <x:c r="H9" s="3">
        <x:f t="shared" si="1"/>
        <x:v>0.5</x:v>
      </x:c>
      <x:c r="I9" s="3">
        <x:f t="shared" si="2"/>
        <x:v>0.5</x:v>
      </x:c>
      <x:c r="J9" s="3">
        <x:f t="shared" si="3"/>
        <x:v>0</x:v>
      </x:c>
      <x:c r="K9" t="s">
        <x:v>56</x:v>
      </x:c>
      <x:c r="L9" t="s">
        <x:v>79</x:v>
      </x:c>
      <x:c r="M9" t="s">
        <x:v>12</x:v>
      </x:c>
      <x:c r="N9" t="s">
        <x:v>63</x:v>
      </x:c>
      <x:c r="O9" t="s">
        <x:v>59</x:v>
      </x:c>
    </x:row>
    <x:row r="10">
      <x:c r="A10" t="s">
        <x:v>8</x:v>
      </x:c>
      <x:c r="B10" t="s">
        <x:v>55</x:v>
      </x:c>
      <x:c r="C10">
        <x:v>4</x:v>
      </x:c>
      <x:c r="D10" s="3">
        <x:f t="shared" si="0"/>
        <x:v>0.018957345971564</x:v>
      </x:c>
      <x:c r="E10">
        <x:v>3</x:v>
      </x:c>
      <x:c r="F10">
        <x:v>1</x:v>
      </x:c>
      <x:c r="G10">
        <x:v>0</x:v>
      </x:c>
      <x:c r="H10" s="3">
        <x:f t="shared" si="1"/>
        <x:v>0.75</x:v>
      </x:c>
      <x:c r="I10" s="3">
        <x:f t="shared" si="2"/>
        <x:v>0.25</x:v>
      </x:c>
      <x:c r="J10" s="3">
        <x:f t="shared" si="3"/>
        <x:v>0</x:v>
      </x:c>
      <x:c r="K10" t="s">
        <x:v>64</x:v>
      </x:c>
      <x:c r="L10" t="s">
        <x:v>106</x:v>
      </x:c>
      <x:c r="M10" t="s">
        <x:v>88</x:v>
      </x:c>
      <x:c r="N10" t="s">
        <x:v>89</x:v>
      </x:c>
      <x:c r="O10" t="s">
        <x:v>90</x:v>
      </x:c>
    </x:row>
    <x:row r="11">
      <x:c r="A11" t="s">
        <x:v>8</x:v>
      </x:c>
      <x:c r="B11" t="s">
        <x:v>68</x:v>
      </x:c>
      <x:c r="C11">
        <x:v>3</x:v>
      </x:c>
      <x:c r="D11" s="3">
        <x:f t="shared" si="0"/>
        <x:v>0.014218009478673</x:v>
      </x:c>
      <x:c r="E11">
        <x:v>2</x:v>
      </x:c>
      <x:c r="F11">
        <x:v>1</x:v>
      </x:c>
      <x:c r="G11">
        <x:v>0</x:v>
      </x:c>
      <x:c r="H11" s="3">
        <x:f t="shared" si="1"/>
        <x:v>0.666666666666667</x:v>
      </x:c>
      <x:c r="I11" s="3">
        <x:f t="shared" si="2"/>
        <x:v>0.333333333333333</x:v>
      </x:c>
      <x:c r="J11" s="3">
        <x:f t="shared" si="3"/>
        <x:v>0</x:v>
      </x:c>
      <x:c r="K11" t="s">
        <x:v>56</x:v>
      </x:c>
      <x:c r="L11" t="s">
        <x:v>99</x:v>
      </x:c>
      <x:c r="M11" t="s">
        <x:v>88</x:v>
      </x:c>
      <x:c r="N11" t="s">
        <x:v>89</x:v>
      </x:c>
      <x:c r="O11" t="s">
        <x:v>90</x:v>
      </x:c>
    </x:row>
    <x:row r="12">
      <x:c r="A12" t="s">
        <x:v>21</x:v>
      </x:c>
      <x:c r="B12" t="s">
        <x:v>20</x:v>
      </x:c>
      <x:c r="C12">
        <x:v>3</x:v>
      </x:c>
      <x:c r="D12" s="3">
        <x:f t="shared" si="0"/>
        <x:v>0.014218009478673</x:v>
      </x:c>
      <x:c r="E12">
        <x:v>1</x:v>
      </x:c>
      <x:c r="F12">
        <x:v>2</x:v>
      </x:c>
      <x:c r="G12">
        <x:v>0</x:v>
      </x:c>
      <x:c r="H12" s="3">
        <x:f t="shared" si="1"/>
        <x:v>0.333333333333333</x:v>
      </x:c>
      <x:c r="I12" s="3">
        <x:f t="shared" si="2"/>
        <x:v>0.666666666666667</x:v>
      </x:c>
      <x:c r="J12" s="3">
        <x:f t="shared" si="3"/>
        <x:v>0</x:v>
      </x:c>
      <x:c r="K12" t="s">
        <x:v>56</x:v>
      </x:c>
      <x:c r="L12" t="s">
        <x:v>79</x:v>
      </x:c>
      <x:c r="M12" t="s">
        <x:v>88</x:v>
      </x:c>
      <x:c r="N12" t="s">
        <x:v>89</x:v>
      </x:c>
      <x:c r="O12" t="s">
        <x:v>90</x:v>
      </x:c>
    </x:row>
    <x:row r="13">
      <x:c r="A13" t="s">
        <x:v>21</x:v>
      </x:c>
      <x:c r="B13" t="s">
        <x:v>24</x:v>
      </x:c>
      <x:c r="C13">
        <x:v>2</x:v>
      </x:c>
      <x:c r="D13" s="3">
        <x:f t="shared" si="0"/>
        <x:v>0.00947867298578199</x:v>
      </x:c>
      <x:c r="E13">
        <x:v>1</x:v>
      </x:c>
      <x:c r="F13">
        <x:v>1</x:v>
      </x:c>
      <x:c r="G13">
        <x:v>0</x:v>
      </x:c>
      <x:c r="H13" s="3">
        <x:f t="shared" si="1"/>
        <x:v>0.5</x:v>
      </x:c>
      <x:c r="I13" s="3">
        <x:f t="shared" si="2"/>
        <x:v>0.5</x:v>
      </x:c>
      <x:c r="J13" s="3">
        <x:f t="shared" si="3"/>
        <x:v>0</x:v>
      </x:c>
      <x:c r="K13" t="s">
        <x:v>51</x:v>
      </x:c>
      <x:c r="L13" t="s">
        <x:v>107</x:v>
      </x:c>
      <x:c r="M13" t="s">
        <x:v>88</x:v>
      </x:c>
      <x:c r="N13" t="s">
        <x:v>89</x:v>
      </x:c>
      <x:c r="O13" t="s">
        <x:v>90</x:v>
      </x:c>
    </x:row>
  </x:sheetData>
  <x:mergeCells>
    <x:mergeCell ref="A1:O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"/>
  <x:cols>
    <x:col min="1" max="1" width="20" customWidth="1"/>
    <x:col min="2" max="2" width="16" customWidth="1"/>
    <x:col min="3" max="3" width="10" customWidth="1"/>
    <x:col min="4" max="4" width="12" customWidth="1"/>
    <x:col min="5" max="7" width="9" customWidth="1"/>
    <x:col min="8" max="10" width="10" customWidth="1"/>
    <x:col min="11" max="11" width="14" customWidth="1"/>
    <x:col min="12" max="12" width="42" customWidth="1"/>
    <x:col min="13" max="13" width="20" customWidth="1"/>
    <x:col min="14" max="14" width="14" customWidth="1"/>
    <x:col min="15" max="15" width="45" customWidth="1"/>
  </x:cols>
  <x:sheetData>
    <x:row r="1" ht="20">
      <x:c r="A1" s="1" t="s">
        <x:v>108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4" t="s">
        <x:v>32</x:v>
      </x:c>
      <x:c r="B2" s="4">
        <x:v>64</x:v>
      </x:c>
    </x:row>
    <x:row r="4">
      <x:c r="A4" s="2" t="s">
        <x:v>4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38</x:v>
      </x:c>
      <x:c r="H4" s="2" t="s">
        <x:v>39</x:v>
      </x:c>
      <x:c r="I4" s="2" t="s">
        <x:v>40</x:v>
      </x:c>
      <x:c r="J4" s="2" t="s">
        <x:v>41</x:v>
      </x:c>
      <x:c r="K4" s="2" t="s">
        <x:v>42</x:v>
      </x:c>
      <x:c r="L4" s="2" t="s">
        <x:v>43</x:v>
      </x:c>
      <x:c r="M4" s="2" t="s">
        <x:v>44</x:v>
      </x:c>
      <x:c r="N4" s="2" t="s">
        <x:v>45</x:v>
      </x:c>
      <x:c r="O4" s="2" t="s">
        <x:v>46</x:v>
      </x:c>
    </x:row>
    <x:row r="5">
      <x:c r="A5" t="s">
        <x:v>8</x:v>
      </x:c>
      <x:c r="B5" t="s">
        <x:v>7</x:v>
      </x:c>
      <x:c r="C5">
        <x:v>28</x:v>
      </x:c>
      <x:c r="D5" s="3" t="n">
        <x:f t="shared" ref="D5:D11" si="0">C5/$B$2</x:f>
        <x:v>0.4375</x:v>
      </x:c>
      <x:c r="E5">
        <x:v>15</x:v>
      </x:c>
      <x:c r="F5">
        <x:v>7</x:v>
      </x:c>
      <x:c r="G5">
        <x:v>6</x:v>
      </x:c>
      <x:c r="H5" s="3" t="n">
        <x:f t="shared" ref="H5:H11" si="1">E5/C5</x:f>
        <x:v>0.5357142857142857</x:v>
      </x:c>
      <x:c r="I5" s="3" t="n">
        <x:f t="shared" ref="I5:I11" si="2">F5/C5</x:f>
        <x:v>0.25</x:v>
      </x:c>
      <x:c r="J5" s="3" t="n">
        <x:f t="shared" ref="J5:J11" si="3">G5/C5</x:f>
        <x:v>0.21428571428571427</x:v>
      </x:c>
      <x:c r="K5" t="s">
        <x:v>47</x:v>
      </x:c>
      <x:c r="L5" t="s">
        <x:v>109</x:v>
      </x:c>
      <x:c r="M5" t="s">
        <x:v>15</x:v>
      </x:c>
      <x:c r="N5" t="s">
        <x:v>49</x:v>
      </x:c>
      <x:c r="O5" t="s">
        <x:v>50</x:v>
      </x:c>
    </x:row>
    <x:row r="6">
      <x:c r="A6" t="s">
        <x:v>28</x:v>
      </x:c>
      <x:c r="B6" t="s">
        <x:v>27</x:v>
      </x:c>
      <x:c r="C6">
        <x:v>14</x:v>
      </x:c>
      <x:c r="D6" s="3">
        <x:f t="shared" si="0"/>
        <x:v>0.21875</x:v>
      </x:c>
      <x:c r="E6">
        <x:v>9</x:v>
      </x:c>
      <x:c r="F6">
        <x:v>5</x:v>
      </x:c>
      <x:c r="G6">
        <x:v>0</x:v>
      </x:c>
      <x:c r="H6" s="3">
        <x:f t="shared" si="1"/>
        <x:v>0.642857142857143</x:v>
      </x:c>
      <x:c r="I6" s="3">
        <x:f t="shared" si="2"/>
        <x:v>0.357142857142857</x:v>
      </x:c>
      <x:c r="J6" s="3">
        <x:f t="shared" si="3"/>
        <x:v>0</x:v>
      </x:c>
      <x:c r="K6" t="s">
        <x:v>51</x:v>
      </x:c>
      <x:c r="L6" t="s">
        <x:v>110</x:v>
      </x:c>
      <x:c r="M6" t="s">
        <x:v>12</x:v>
      </x:c>
      <x:c r="N6" t="s">
        <x:v>58</x:v>
      </x:c>
      <x:c r="O6" t="s">
        <x:v>59</x:v>
      </x:c>
    </x:row>
    <x:row r="7">
      <x:c r="A7" t="s">
        <x:v>8</x:v>
      </x:c>
      <x:c r="B7" t="s">
        <x:v>11</x:v>
      </x:c>
      <x:c r="C7">
        <x:v>9</x:v>
      </x:c>
      <x:c r="D7" s="3">
        <x:f t="shared" si="0"/>
        <x:v>0.140625</x:v>
      </x:c>
      <x:c r="E7">
        <x:v>6</x:v>
      </x:c>
      <x:c r="F7">
        <x:v>2</x:v>
      </x:c>
      <x:c r="G7">
        <x:v>1</x:v>
      </x:c>
      <x:c r="H7" s="3">
        <x:f t="shared" si="1"/>
        <x:v>0.666666666666667</x:v>
      </x:c>
      <x:c r="I7" s="3">
        <x:f t="shared" si="2"/>
        <x:v>0.222222222222222</x:v>
      </x:c>
      <x:c r="J7" s="3">
        <x:f t="shared" si="3"/>
        <x:v>0.111111111111111</x:v>
      </x:c>
      <x:c r="K7" t="s">
        <x:v>111</x:v>
      </x:c>
      <x:c r="L7" t="s">
        <x:v>112</x:v>
      </x:c>
      <x:c r="M7" t="s">
        <x:v>15</x:v>
      </x:c>
      <x:c r="N7" t="s">
        <x:v>49</x:v>
      </x:c>
      <x:c r="O7" t="s">
        <x:v>50</x:v>
      </x:c>
    </x:row>
    <x:row r="8">
      <x:c r="A8" t="s">
        <x:v>8</x:v>
      </x:c>
      <x:c r="B8" t="s">
        <x:v>55</x:v>
      </x:c>
      <x:c r="C8">
        <x:v>5</x:v>
      </x:c>
      <x:c r="D8" s="3">
        <x:f t="shared" si="0"/>
        <x:v>0.078125</x:v>
      </x:c>
      <x:c r="E8">
        <x:v>3</x:v>
      </x:c>
      <x:c r="F8">
        <x:v>2</x:v>
      </x:c>
      <x:c r="G8">
        <x:v>0</x:v>
      </x:c>
      <x:c r="H8" s="3">
        <x:f t="shared" si="1"/>
        <x:v>0.6</x:v>
      </x:c>
      <x:c r="I8" s="3">
        <x:f t="shared" si="2"/>
        <x:v>0.4</x:v>
      </x:c>
      <x:c r="J8" s="3">
        <x:f t="shared" si="3"/>
        <x:v>0</x:v>
      </x:c>
      <x:c r="K8" t="s">
        <x:v>56</x:v>
      </x:c>
      <x:c r="L8" t="s">
        <x:v>113</x:v>
      </x:c>
      <x:c r="M8" t="s">
        <x:v>12</x:v>
      </x:c>
      <x:c r="N8" t="s">
        <x:v>58</x:v>
      </x:c>
      <x:c r="O8" t="s">
        <x:v>59</x:v>
      </x:c>
    </x:row>
    <x:row r="9">
      <x:c r="A9" t="s">
        <x:v>8</x:v>
      </x:c>
      <x:c r="B9" t="s">
        <x:v>68</x:v>
      </x:c>
      <x:c r="C9">
        <x:v>4</x:v>
      </x:c>
      <x:c r="D9" s="3">
        <x:f t="shared" si="0"/>
        <x:v>0.0625</x:v>
      </x:c>
      <x:c r="E9">
        <x:v>1</x:v>
      </x:c>
      <x:c r="F9">
        <x:v>3</x:v>
      </x:c>
      <x:c r="G9">
        <x:v>0</x:v>
      </x:c>
      <x:c r="H9" s="3">
        <x:f t="shared" si="1"/>
        <x:v>0.25</x:v>
      </x:c>
      <x:c r="I9" s="3">
        <x:f t="shared" si="2"/>
        <x:v>0.75</x:v>
      </x:c>
      <x:c r="J9" s="3">
        <x:f t="shared" si="3"/>
        <x:v>0</x:v>
      </x:c>
      <x:c r="K9" t="s">
        <x:v>56</x:v>
      </x:c>
      <x:c r="L9" t="s">
        <x:v>114</x:v>
      </x:c>
      <x:c r="M9" t="s">
        <x:v>88</x:v>
      </x:c>
      <x:c r="N9" t="s">
        <x:v>89</x:v>
      </x:c>
      <x:c r="O9" t="s">
        <x:v>90</x:v>
      </x:c>
    </x:row>
    <x:row r="10">
      <x:c r="A10" t="s">
        <x:v>8</x:v>
      </x:c>
      <x:c r="B10" t="s">
        <x:v>14</x:v>
      </x:c>
      <x:c r="C10">
        <x:v>3</x:v>
      </x:c>
      <x:c r="D10" s="3">
        <x:f t="shared" si="0"/>
        <x:v>0.046875</x:v>
      </x:c>
      <x:c r="E10">
        <x:v>1</x:v>
      </x:c>
      <x:c r="F10">
        <x:v>2</x:v>
      </x:c>
      <x:c r="G10">
        <x:v>0</x:v>
      </x:c>
      <x:c r="H10" s="3">
        <x:f t="shared" si="1"/>
        <x:v>0.333333333333333</x:v>
      </x:c>
      <x:c r="I10" s="3">
        <x:f t="shared" si="2"/>
        <x:v>0.666666666666667</x:v>
      </x:c>
      <x:c r="J10" s="3">
        <x:f t="shared" si="3"/>
        <x:v>0</x:v>
      </x:c>
      <x:c r="K10" t="s">
        <x:v>56</x:v>
      </x:c>
      <x:c r="L10" t="s">
        <x:v>99</x:v>
      </x:c>
      <x:c r="M10" t="s">
        <x:v>88</x:v>
      </x:c>
      <x:c r="N10" t="s">
        <x:v>89</x:v>
      </x:c>
      <x:c r="O10" t="s">
        <x:v>90</x:v>
      </x:c>
    </x:row>
    <x:row r="11">
      <x:c r="A11" t="s">
        <x:v>8</x:v>
      </x:c>
      <x:c r="B11" t="s">
        <x:v>17</x:v>
      </x:c>
      <x:c r="C11">
        <x:v>1</x:v>
      </x:c>
      <x:c r="D11" s="3">
        <x:f t="shared" si="0"/>
        <x:v>0.015625</x:v>
      </x:c>
      <x:c r="E11">
        <x:v>1</x:v>
      </x:c>
      <x:c r="F11">
        <x:v>0</x:v>
      </x:c>
      <x:c r="G11">
        <x:v>0</x:v>
      </x:c>
      <x:c r="H11" s="3">
        <x:f t="shared" si="1"/>
        <x:v>1</x:v>
      </x:c>
      <x:c r="I11" s="3">
        <x:f t="shared" si="2"/>
        <x:v>0</x:v>
      </x:c>
      <x:c r="J11" s="3">
        <x:f t="shared" si="3"/>
        <x:v>0</x:v>
      </x:c>
      <x:c r="K11" t="s">
        <x:v>64</x:v>
      </x:c>
      <x:c r="L11" t="s">
        <x:v>115</x:v>
      </x:c>
      <x:c r="M11" t="s">
        <x:v>88</x:v>
      </x:c>
      <x:c r="N11" t="s">
        <x:v>89</x:v>
      </x:c>
      <x:c r="O11" t="s">
        <x:v>90</x:v>
      </x:c>
    </x:row>
  </x:sheetData>
  <x:mergeCells>
    <x:mergeCell ref="A1:O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"/>
  <x:cols>
    <x:col min="1" max="1" width="16" customWidth="1"/>
    <x:col min="2" max="2" width="20" customWidth="1"/>
    <x:col min="3" max="3" width="16" customWidth="1"/>
    <x:col min="4" max="4" width="10" customWidth="1"/>
    <x:col min="5" max="5" width="12" customWidth="1"/>
    <x:col min="6" max="8" width="9" customWidth="1"/>
    <x:col min="9" max="11" width="10" customWidth="1"/>
    <x:col min="12" max="12" width="14" customWidth="1"/>
    <x:col min="13" max="13" width="42" customWidth="1"/>
    <x:col min="14" max="14" width="20" customWidth="1"/>
    <x:col min="15" max="15" width="14" customWidth="1"/>
  </x:cols>
  <x:sheetData>
    <x:row r="1" ht="20">
      <x:c r="A1" s="1" t="s">
        <x:v>116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3">
      <x:c r="A3" s="2" t="s">
        <x:v>117</x:v>
      </x:c>
      <x:c r="B3" s="2" t="s">
        <x:v>4</x:v>
      </x:c>
      <x:c r="C3" s="2" t="s">
        <x:v>33</x:v>
      </x:c>
      <x:c r="D3" s="2" t="s">
        <x:v>34</x:v>
      </x:c>
      <x:c r="E3" s="2" t="s">
        <x:v>35</x:v>
      </x:c>
      <x:c r="F3" s="2" t="s">
        <x:v>36</x:v>
      </x:c>
      <x:c r="G3" s="2" t="s">
        <x:v>37</x:v>
      </x:c>
      <x:c r="H3" s="2" t="s">
        <x:v>38</x:v>
      </x:c>
      <x:c r="I3" s="2" t="s">
        <x:v>39</x:v>
      </x:c>
      <x:c r="J3" s="2" t="s">
        <x:v>40</x:v>
      </x:c>
      <x:c r="K3" s="2" t="s">
        <x:v>41</x:v>
      </x:c>
      <x:c r="L3" s="2" t="s">
        <x:v>42</x:v>
      </x:c>
      <x:c r="M3" s="2" t="s">
        <x:v>43</x:v>
      </x:c>
      <x:c r="N3" s="2" t="s">
        <x:v>44</x:v>
      </x:c>
      <x:c r="O3" s="2" t="s">
        <x:v>45</x:v>
      </x:c>
    </x:row>
    <x:row r="4">
      <x:c r="A4" t="s">
        <x:v>118</x:v>
      </x:c>
      <x:c r="B4" t="s">
        <x:v>8</x:v>
      </x:c>
      <x:c r="C4" t="s">
        <x:v>7</x:v>
      </x:c>
      <x:c r="D4">
        <x:v>28</x:v>
      </x:c>
      <x:c r="E4" s="3" t="n">
        <x:f t="shared" ref="E4:E55" si="0">D4/SUMIFS($D:$D,$A:$A,$A4)</x:f>
        <x:v>0.4375</x:v>
      </x:c>
      <x:c r="F4">
        <x:v>15</x:v>
      </x:c>
      <x:c r="G4">
        <x:v>7</x:v>
      </x:c>
      <x:c r="H4">
        <x:v>6</x:v>
      </x:c>
      <x:c r="I4" s="3" t="n">
        <x:f t="shared" ref="I4:I55" si="1">F4/D4</x:f>
        <x:v>0.5357142857142857</x:v>
      </x:c>
      <x:c r="J4" s="3" t="n">
        <x:f t="shared" ref="J4:J55" si="2">G4/D4</x:f>
        <x:v>0.25</x:v>
      </x:c>
      <x:c r="K4" s="3" t="n">
        <x:f t="shared" ref="K4:K55" si="3">H4/D4</x:f>
        <x:v>0.21428571428571427</x:v>
      </x:c>
      <x:c r="L4" t="s">
        <x:v>47</x:v>
      </x:c>
      <x:c r="M4" t="s">
        <x:v>109</x:v>
      </x:c>
      <x:c r="N4" t="s">
        <x:v>15</x:v>
      </x:c>
      <x:c r="O4" t="s">
        <x:v>49</x:v>
      </x:c>
    </x:row>
    <x:row r="5">
      <x:c r="A5" t="s">
        <x:v>118</x:v>
      </x:c>
      <x:c r="B5" t="s">
        <x:v>28</x:v>
      </x:c>
      <x:c r="C5" t="s">
        <x:v>27</x:v>
      </x:c>
      <x:c r="D5">
        <x:v>14</x:v>
      </x:c>
      <x:c r="E5" s="3">
        <x:f t="shared" si="0"/>
        <x:v>0.21875</x:v>
      </x:c>
      <x:c r="F5">
        <x:v>9</x:v>
      </x:c>
      <x:c r="G5">
        <x:v>5</x:v>
      </x:c>
      <x:c r="H5">
        <x:v>0</x:v>
      </x:c>
      <x:c r="I5" s="3">
        <x:f t="shared" si="1"/>
        <x:v>0.642857142857143</x:v>
      </x:c>
      <x:c r="J5" s="3">
        <x:f t="shared" si="2"/>
        <x:v>0.357142857142857</x:v>
      </x:c>
      <x:c r="K5" s="3">
        <x:f t="shared" si="3"/>
        <x:v>0</x:v>
      </x:c>
      <x:c r="L5" t="s">
        <x:v>51</x:v>
      </x:c>
      <x:c r="M5" t="s">
        <x:v>110</x:v>
      </x:c>
      <x:c r="N5" t="s">
        <x:v>12</x:v>
      </x:c>
      <x:c r="O5" t="s">
        <x:v>58</x:v>
      </x:c>
    </x:row>
    <x:row r="6">
      <x:c r="A6" t="s">
        <x:v>118</x:v>
      </x:c>
      <x:c r="B6" t="s">
        <x:v>8</x:v>
      </x:c>
      <x:c r="C6" t="s">
        <x:v>11</x:v>
      </x:c>
      <x:c r="D6">
        <x:v>9</x:v>
      </x:c>
      <x:c r="E6" s="3">
        <x:f t="shared" si="0"/>
        <x:v>0.140625</x:v>
      </x:c>
      <x:c r="F6">
        <x:v>6</x:v>
      </x:c>
      <x:c r="G6">
        <x:v>2</x:v>
      </x:c>
      <x:c r="H6">
        <x:v>1</x:v>
      </x:c>
      <x:c r="I6" s="3">
        <x:f t="shared" si="1"/>
        <x:v>0.666666666666667</x:v>
      </x:c>
      <x:c r="J6" s="3">
        <x:f t="shared" si="2"/>
        <x:v>0.222222222222222</x:v>
      </x:c>
      <x:c r="K6" s="3">
        <x:f t="shared" si="3"/>
        <x:v>0.111111111111111</x:v>
      </x:c>
      <x:c r="L6" t="s">
        <x:v>111</x:v>
      </x:c>
      <x:c r="M6" t="s">
        <x:v>112</x:v>
      </x:c>
      <x:c r="N6" t="s">
        <x:v>15</x:v>
      </x:c>
      <x:c r="O6" t="s">
        <x:v>49</x:v>
      </x:c>
    </x:row>
    <x:row r="7">
      <x:c r="A7" t="s">
        <x:v>118</x:v>
      </x:c>
      <x:c r="B7" t="s">
        <x:v>8</x:v>
      </x:c>
      <x:c r="C7" t="s">
        <x:v>55</x:v>
      </x:c>
      <x:c r="D7">
        <x:v>5</x:v>
      </x:c>
      <x:c r="E7" s="3">
        <x:f t="shared" si="0"/>
        <x:v>0.078125</x:v>
      </x:c>
      <x:c r="F7">
        <x:v>3</x:v>
      </x:c>
      <x:c r="G7">
        <x:v>2</x:v>
      </x:c>
      <x:c r="H7">
        <x:v>0</x:v>
      </x:c>
      <x:c r="I7" s="3">
        <x:f t="shared" si="1"/>
        <x:v>0.6</x:v>
      </x:c>
      <x:c r="J7" s="3">
        <x:f t="shared" si="2"/>
        <x:v>0.4</x:v>
      </x:c>
      <x:c r="K7" s="3">
        <x:f t="shared" si="3"/>
        <x:v>0</x:v>
      </x:c>
      <x:c r="L7" t="s">
        <x:v>56</x:v>
      </x:c>
      <x:c r="M7" t="s">
        <x:v>113</x:v>
      </x:c>
      <x:c r="N7" t="s">
        <x:v>12</x:v>
      </x:c>
      <x:c r="O7" t="s">
        <x:v>58</x:v>
      </x:c>
    </x:row>
    <x:row r="8">
      <x:c r="A8" t="s">
        <x:v>118</x:v>
      </x:c>
      <x:c r="B8" t="s">
        <x:v>8</x:v>
      </x:c>
      <x:c r="C8" t="s">
        <x:v>68</x:v>
      </x:c>
      <x:c r="D8">
        <x:v>4</x:v>
      </x:c>
      <x:c r="E8" s="3">
        <x:f t="shared" si="0"/>
        <x:v>0.0625</x:v>
      </x:c>
      <x:c r="F8">
        <x:v>1</x:v>
      </x:c>
      <x:c r="G8">
        <x:v>3</x:v>
      </x:c>
      <x:c r="H8">
        <x:v>0</x:v>
      </x:c>
      <x:c r="I8" s="3">
        <x:f t="shared" si="1"/>
        <x:v>0.25</x:v>
      </x:c>
      <x:c r="J8" s="3">
        <x:f t="shared" si="2"/>
        <x:v>0.75</x:v>
      </x:c>
      <x:c r="K8" s="3">
        <x:f t="shared" si="3"/>
        <x:v>0</x:v>
      </x:c>
      <x:c r="L8" t="s">
        <x:v>56</x:v>
      </x:c>
      <x:c r="M8" t="s">
        <x:v>114</x:v>
      </x:c>
      <x:c r="N8" t="s">
        <x:v>88</x:v>
      </x:c>
      <x:c r="O8" t="s">
        <x:v>89</x:v>
      </x:c>
    </x:row>
    <x:row r="9">
      <x:c r="A9" t="s">
        <x:v>118</x:v>
      </x:c>
      <x:c r="B9" t="s">
        <x:v>8</x:v>
      </x:c>
      <x:c r="C9" t="s">
        <x:v>14</x:v>
      </x:c>
      <x:c r="D9">
        <x:v>3</x:v>
      </x:c>
      <x:c r="E9" s="3">
        <x:f t="shared" si="0"/>
        <x:v>0.046875</x:v>
      </x:c>
      <x:c r="F9">
        <x:v>1</x:v>
      </x:c>
      <x:c r="G9">
        <x:v>2</x:v>
      </x:c>
      <x:c r="H9">
        <x:v>0</x:v>
      </x:c>
      <x:c r="I9" s="3">
        <x:f t="shared" si="1"/>
        <x:v>0.333333333333333</x:v>
      </x:c>
      <x:c r="J9" s="3">
        <x:f t="shared" si="2"/>
        <x:v>0.666666666666667</x:v>
      </x:c>
      <x:c r="K9" s="3">
        <x:f t="shared" si="3"/>
        <x:v>0</x:v>
      </x:c>
      <x:c r="L9" t="s">
        <x:v>56</x:v>
      </x:c>
      <x:c r="M9" t="s">
        <x:v>99</x:v>
      </x:c>
      <x:c r="N9" t="s">
        <x:v>88</x:v>
      </x:c>
      <x:c r="O9" t="s">
        <x:v>89</x:v>
      </x:c>
    </x:row>
    <x:row r="10">
      <x:c r="A10" t="s">
        <x:v>118</x:v>
      </x:c>
      <x:c r="B10" t="s">
        <x:v>8</x:v>
      </x:c>
      <x:c r="C10" t="s">
        <x:v>17</x:v>
      </x:c>
      <x:c r="D10">
        <x:v>1</x:v>
      </x:c>
      <x:c r="E10" s="3">
        <x:f t="shared" si="0"/>
        <x:v>0.015625</x:v>
      </x:c>
      <x:c r="F10">
        <x:v>1</x:v>
      </x:c>
      <x:c r="G10">
        <x:v>0</x:v>
      </x:c>
      <x:c r="H10">
        <x:v>0</x:v>
      </x:c>
      <x:c r="I10" s="3">
        <x:f t="shared" si="1"/>
        <x:v>1</x:v>
      </x:c>
      <x:c r="J10" s="3">
        <x:f t="shared" si="2"/>
        <x:v>0</x:v>
      </x:c>
      <x:c r="K10" s="3">
        <x:f t="shared" si="3"/>
        <x:v>0</x:v>
      </x:c>
      <x:c r="L10" t="s">
        <x:v>64</x:v>
      </x:c>
      <x:c r="M10" t="s">
        <x:v>115</x:v>
      </x:c>
      <x:c r="N10" t="s">
        <x:v>88</x:v>
      </x:c>
      <x:c r="O10" t="s">
        <x:v>89</x:v>
      </x:c>
    </x:row>
    <x:row r="11">
      <x:c r="A11" t="s">
        <x:v>119</x:v>
      </x:c>
      <x:c r="B11" t="s">
        <x:v>8</x:v>
      </x:c>
      <x:c r="C11" t="s">
        <x:v>7</x:v>
      </x:c>
      <x:c r="D11">
        <x:v>87</x:v>
      </x:c>
      <x:c r="E11" s="3">
        <x:f t="shared" si="0"/>
        <x:v>0.412322274881517</x:v>
      </x:c>
      <x:c r="F11">
        <x:v>50</x:v>
      </x:c>
      <x:c r="G11">
        <x:v>34</x:v>
      </x:c>
      <x:c r="H11">
        <x:v>3</x:v>
      </x:c>
      <x:c r="I11" s="3">
        <x:f t="shared" si="1"/>
        <x:v>0.574712643678161</x:v>
      </x:c>
      <x:c r="J11" s="3">
        <x:f t="shared" si="2"/>
        <x:v>0.390804597701149</x:v>
      </x:c>
      <x:c r="K11" s="3">
        <x:f t="shared" si="3"/>
        <x:v>0.0344827586206897</x:v>
      </x:c>
      <x:c r="L11" t="s">
        <x:v>47</x:v>
      </x:c>
      <x:c r="M11" t="s">
        <x:v>102</x:v>
      </x:c>
      <x:c r="N11" t="s">
        <x:v>12</x:v>
      </x:c>
      <x:c r="O11" t="s">
        <x:v>58</x:v>
      </x:c>
    </x:row>
    <x:row r="12">
      <x:c r="A12" t="s">
        <x:v>119</x:v>
      </x:c>
      <x:c r="B12" t="s">
        <x:v>28</x:v>
      </x:c>
      <x:c r="C12" t="s">
        <x:v>27</x:v>
      </x:c>
      <x:c r="D12">
        <x:v>55</x:v>
      </x:c>
      <x:c r="E12" s="3">
        <x:f t="shared" si="0"/>
        <x:v>0.260663507109005</x:v>
      </x:c>
      <x:c r="F12">
        <x:v>30</x:v>
      </x:c>
      <x:c r="G12">
        <x:v>25</x:v>
      </x:c>
      <x:c r="H12">
        <x:v>0</x:v>
      </x:c>
      <x:c r="I12" s="3">
        <x:f t="shared" si="1"/>
        <x:v>0.545454545454545</x:v>
      </x:c>
      <x:c r="J12" s="3">
        <x:f t="shared" si="2"/>
        <x:v>0.454545454545455</x:v>
      </x:c>
      <x:c r="K12" s="3">
        <x:f t="shared" si="3"/>
        <x:v>0</x:v>
      </x:c>
      <x:c r="L12" t="s">
        <x:v>51</x:v>
      </x:c>
      <x:c r="M12" t="s">
        <x:v>103</x:v>
      </x:c>
      <x:c r="N12" t="s">
        <x:v>12</x:v>
      </x:c>
      <x:c r="O12" t="s">
        <x:v>58</x:v>
      </x:c>
    </x:row>
    <x:row r="13">
      <x:c r="A13" t="s">
        <x:v>119</x:v>
      </x:c>
      <x:c r="B13" t="s">
        <x:v>8</x:v>
      </x:c>
      <x:c r="C13" t="s">
        <x:v>17</x:v>
      </x:c>
      <x:c r="D13">
        <x:v>40</x:v>
      </x:c>
      <x:c r="E13" s="3">
        <x:f t="shared" si="0"/>
        <x:v>0.18957345971564</x:v>
      </x:c>
      <x:c r="F13">
        <x:v>18</x:v>
      </x:c>
      <x:c r="G13">
        <x:v>22</x:v>
      </x:c>
      <x:c r="H13">
        <x:v>0</x:v>
      </x:c>
      <x:c r="I13" s="3">
        <x:f t="shared" si="1"/>
        <x:v>0.45</x:v>
      </x:c>
      <x:c r="J13" s="3">
        <x:f t="shared" si="2"/>
        <x:v>0.55</x:v>
      </x:c>
      <x:c r="K13" s="3">
        <x:f t="shared" si="3"/>
        <x:v>0</x:v>
      </x:c>
      <x:c r="L13" t="s">
        <x:v>64</x:v>
      </x:c>
      <x:c r="M13" t="s">
        <x:v>104</x:v>
      </x:c>
      <x:c r="N13" t="s">
        <x:v>12</x:v>
      </x:c>
      <x:c r="O13" t="s">
        <x:v>58</x:v>
      </x:c>
    </x:row>
    <x:row r="14">
      <x:c r="A14" t="s">
        <x:v>119</x:v>
      </x:c>
      <x:c r="B14" t="s">
        <x:v>8</x:v>
      </x:c>
      <x:c r="C14" t="s">
        <x:v>11</x:v>
      </x:c>
      <x:c r="D14">
        <x:v>11</x:v>
      </x:c>
      <x:c r="E14" s="3">
        <x:f t="shared" si="0"/>
        <x:v>0.0521327014218009</x:v>
      </x:c>
      <x:c r="F14">
        <x:v>4</x:v>
      </x:c>
      <x:c r="G14">
        <x:v>5</x:v>
      </x:c>
      <x:c r="H14">
        <x:v>2</x:v>
      </x:c>
      <x:c r="I14" s="3">
        <x:f t="shared" si="1"/>
        <x:v>0.363636363636364</x:v>
      </x:c>
      <x:c r="J14" s="3">
        <x:f t="shared" si="2"/>
        <x:v>0.454545454545455</x:v>
      </x:c>
      <x:c r="K14" s="3">
        <x:f t="shared" si="3"/>
        <x:v>0.181818181818182</x:v>
      </x:c>
      <x:c r="L14" t="s">
        <x:v>47</x:v>
      </x:c>
      <x:c r="M14" t="s">
        <x:v>105</x:v>
      </x:c>
      <x:c r="N14" t="s">
        <x:v>15</x:v>
      </x:c>
      <x:c r="O14" t="s">
        <x:v>49</x:v>
      </x:c>
    </x:row>
    <x:row r="15">
      <x:c r="A15" t="s">
        <x:v>119</x:v>
      </x:c>
      <x:c r="B15" t="s">
        <x:v>8</x:v>
      </x:c>
      <x:c r="C15" t="s">
        <x:v>14</x:v>
      </x:c>
      <x:c r="D15">
        <x:v>6</x:v>
      </x:c>
      <x:c r="E15" s="3">
        <x:f t="shared" si="0"/>
        <x:v>0.028436018957346</x:v>
      </x:c>
      <x:c r="F15">
        <x:v>3</x:v>
      </x:c>
      <x:c r="G15">
        <x:v>3</x:v>
      </x:c>
      <x:c r="H15">
        <x:v>0</x:v>
      </x:c>
      <x:c r="I15" s="3">
        <x:f t="shared" si="1"/>
        <x:v>0.5</x:v>
      </x:c>
      <x:c r="J15" s="3">
        <x:f t="shared" si="2"/>
        <x:v>0.5</x:v>
      </x:c>
      <x:c r="K15" s="3">
        <x:f t="shared" si="3"/>
        <x:v>0</x:v>
      </x:c>
      <x:c r="L15" t="s">
        <x:v>56</x:v>
      </x:c>
      <x:c r="M15" t="s">
        <x:v>79</x:v>
      </x:c>
      <x:c r="N15" t="s">
        <x:v>12</x:v>
      </x:c>
      <x:c r="O15" t="s">
        <x:v>63</x:v>
      </x:c>
    </x:row>
    <x:row r="16">
      <x:c r="A16" t="s">
        <x:v>119</x:v>
      </x:c>
      <x:c r="B16" t="s">
        <x:v>8</x:v>
      </x:c>
      <x:c r="C16" t="s">
        <x:v>55</x:v>
      </x:c>
      <x:c r="D16">
        <x:v>4</x:v>
      </x:c>
      <x:c r="E16" s="3">
        <x:f t="shared" si="0"/>
        <x:v>0.018957345971564</x:v>
      </x:c>
      <x:c r="F16">
        <x:v>3</x:v>
      </x:c>
      <x:c r="G16">
        <x:v>1</x:v>
      </x:c>
      <x:c r="H16">
        <x:v>0</x:v>
      </x:c>
      <x:c r="I16" s="3">
        <x:f t="shared" si="1"/>
        <x:v>0.75</x:v>
      </x:c>
      <x:c r="J16" s="3">
        <x:f t="shared" si="2"/>
        <x:v>0.25</x:v>
      </x:c>
      <x:c r="K16" s="3">
        <x:f t="shared" si="3"/>
        <x:v>0</x:v>
      </x:c>
      <x:c r="L16" t="s">
        <x:v>64</x:v>
      </x:c>
      <x:c r="M16" t="s">
        <x:v>106</x:v>
      </x:c>
      <x:c r="N16" t="s">
        <x:v>88</x:v>
      </x:c>
      <x:c r="O16" t="s">
        <x:v>89</x:v>
      </x:c>
    </x:row>
    <x:row r="17">
      <x:c r="A17" t="s">
        <x:v>119</x:v>
      </x:c>
      <x:c r="B17" t="s">
        <x:v>8</x:v>
      </x:c>
      <x:c r="C17" t="s">
        <x:v>68</x:v>
      </x:c>
      <x:c r="D17">
        <x:v>3</x:v>
      </x:c>
      <x:c r="E17" s="3">
        <x:f t="shared" si="0"/>
        <x:v>0.014218009478673</x:v>
      </x:c>
      <x:c r="F17">
        <x:v>2</x:v>
      </x:c>
      <x:c r="G17">
        <x:v>1</x:v>
      </x:c>
      <x:c r="H17">
        <x:v>0</x:v>
      </x:c>
      <x:c r="I17" s="3">
        <x:f t="shared" si="1"/>
        <x:v>0.666666666666667</x:v>
      </x:c>
      <x:c r="J17" s="3">
        <x:f t="shared" si="2"/>
        <x:v>0.333333333333333</x:v>
      </x:c>
      <x:c r="K17" s="3">
        <x:f t="shared" si="3"/>
        <x:v>0</x:v>
      </x:c>
      <x:c r="L17" t="s">
        <x:v>56</x:v>
      </x:c>
      <x:c r="M17" t="s">
        <x:v>99</x:v>
      </x:c>
      <x:c r="N17" t="s">
        <x:v>88</x:v>
      </x:c>
      <x:c r="O17" t="s">
        <x:v>89</x:v>
      </x:c>
    </x:row>
    <x:row r="18">
      <x:c r="A18" t="s">
        <x:v>119</x:v>
      </x:c>
      <x:c r="B18" t="s">
        <x:v>21</x:v>
      </x:c>
      <x:c r="C18" t="s">
        <x:v>20</x:v>
      </x:c>
      <x:c r="D18">
        <x:v>3</x:v>
      </x:c>
      <x:c r="E18" s="3">
        <x:f t="shared" si="0"/>
        <x:v>0.014218009478673</x:v>
      </x:c>
      <x:c r="F18">
        <x:v>1</x:v>
      </x:c>
      <x:c r="G18">
        <x:v>2</x:v>
      </x:c>
      <x:c r="H18">
        <x:v>0</x:v>
      </x:c>
      <x:c r="I18" s="3">
        <x:f t="shared" si="1"/>
        <x:v>0.333333333333333</x:v>
      </x:c>
      <x:c r="J18" s="3">
        <x:f t="shared" si="2"/>
        <x:v>0.666666666666667</x:v>
      </x:c>
      <x:c r="K18" s="3">
        <x:f t="shared" si="3"/>
        <x:v>0</x:v>
      </x:c>
      <x:c r="L18" t="s">
        <x:v>56</x:v>
      </x:c>
      <x:c r="M18" t="s">
        <x:v>79</x:v>
      </x:c>
      <x:c r="N18" t="s">
        <x:v>88</x:v>
      </x:c>
      <x:c r="O18" t="s">
        <x:v>89</x:v>
      </x:c>
    </x:row>
    <x:row r="19">
      <x:c r="A19" t="s">
        <x:v>119</x:v>
      </x:c>
      <x:c r="B19" t="s">
        <x:v>21</x:v>
      </x:c>
      <x:c r="C19" t="s">
        <x:v>24</x:v>
      </x:c>
      <x:c r="D19">
        <x:v>2</x:v>
      </x:c>
      <x:c r="E19" s="3">
        <x:f t="shared" si="0"/>
        <x:v>0.00947867298578199</x:v>
      </x:c>
      <x:c r="F19">
        <x:v>1</x:v>
      </x:c>
      <x:c r="G19">
        <x:v>1</x:v>
      </x:c>
      <x:c r="H19">
        <x:v>0</x:v>
      </x:c>
      <x:c r="I19" s="3">
        <x:f t="shared" si="1"/>
        <x:v>0.5</x:v>
      </x:c>
      <x:c r="J19" s="3">
        <x:f t="shared" si="2"/>
        <x:v>0.5</x:v>
      </x:c>
      <x:c r="K19" s="3">
        <x:f t="shared" si="3"/>
        <x:v>0</x:v>
      </x:c>
      <x:c r="L19" t="s">
        <x:v>51</x:v>
      </x:c>
      <x:c r="M19" t="s">
        <x:v>107</x:v>
      </x:c>
      <x:c r="N19" t="s">
        <x:v>88</x:v>
      </x:c>
      <x:c r="O19" t="s">
        <x:v>89</x:v>
      </x:c>
    </x:row>
    <x:row r="20">
      <x:c r="A20" t="s">
        <x:v>120</x:v>
      </x:c>
      <x:c r="B20" t="s">
        <x:v>8</x:v>
      </x:c>
      <x:c r="C20" t="s">
        <x:v>7</x:v>
      </x:c>
      <x:c r="D20">
        <x:v>156</x:v>
      </x:c>
      <x:c r="E20" s="3">
        <x:f t="shared" si="0"/>
        <x:v>0.5</x:v>
      </x:c>
      <x:c r="F20">
        <x:v>80</x:v>
      </x:c>
      <x:c r="G20">
        <x:v>67</x:v>
      </x:c>
      <x:c r="H20">
        <x:v>9</x:v>
      </x:c>
      <x:c r="I20" s="3">
        <x:f t="shared" si="1"/>
        <x:v>0.512820512820513</x:v>
      </x:c>
      <x:c r="J20" s="3">
        <x:f t="shared" si="2"/>
        <x:v>0.429487179487179</x:v>
      </x:c>
      <x:c r="K20" s="3">
        <x:f t="shared" si="3"/>
        <x:v>0.0576923076923077</x:v>
      </x:c>
      <x:c r="L20" t="s">
        <x:v>47</x:v>
      </x:c>
      <x:c r="M20" t="s">
        <x:v>81</x:v>
      </x:c>
      <x:c r="N20" t="s">
        <x:v>15</x:v>
      </x:c>
      <x:c r="O20" t="s">
        <x:v>49</x:v>
      </x:c>
    </x:row>
    <x:row r="21">
      <x:c r="A21" t="s">
        <x:v>120</x:v>
      </x:c>
      <x:c r="B21" t="s">
        <x:v>8</x:v>
      </x:c>
      <x:c r="C21" t="s">
        <x:v>11</x:v>
      </x:c>
      <x:c r="D21">
        <x:v>59</x:v>
      </x:c>
      <x:c r="E21" s="3">
        <x:f t="shared" si="0"/>
        <x:v>0.189102564102564</x:v>
      </x:c>
      <x:c r="F21">
        <x:v>21</x:v>
      </x:c>
      <x:c r="G21">
        <x:v>35</x:v>
      </x:c>
      <x:c r="H21">
        <x:v>3</x:v>
      </x:c>
      <x:c r="I21" s="3">
        <x:f t="shared" si="1"/>
        <x:v>0.355932203389831</x:v>
      </x:c>
      <x:c r="J21" s="3">
        <x:f t="shared" si="2"/>
        <x:v>0.593220338983051</x:v>
      </x:c>
      <x:c r="K21" s="3">
        <x:f t="shared" si="3"/>
        <x:v>0.0508474576271186</x:v>
      </x:c>
      <x:c r="L21" t="s">
        <x:v>47</x:v>
      </x:c>
      <x:c r="M21" t="s">
        <x:v>82</x:v>
      </x:c>
      <x:c r="N21" t="s">
        <x:v>15</x:v>
      </x:c>
      <x:c r="O21" t="s">
        <x:v>49</x:v>
      </x:c>
    </x:row>
    <x:row r="22">
      <x:c r="A22" t="s">
        <x:v>120</x:v>
      </x:c>
      <x:c r="B22" t="s">
        <x:v>28</x:v>
      </x:c>
      <x:c r="C22" t="s">
        <x:v>27</x:v>
      </x:c>
      <x:c r="D22">
        <x:v>47</x:v>
      </x:c>
      <x:c r="E22" s="3">
        <x:f t="shared" si="0"/>
        <x:v>0.150641025641026</x:v>
      </x:c>
      <x:c r="F22">
        <x:v>21</x:v>
      </x:c>
      <x:c r="G22">
        <x:v>26</x:v>
      </x:c>
      <x:c r="H22">
        <x:v>0</x:v>
      </x:c>
      <x:c r="I22" s="3">
        <x:f t="shared" si="1"/>
        <x:v>0.446808510638298</x:v>
      </x:c>
      <x:c r="J22" s="3">
        <x:f t="shared" si="2"/>
        <x:v>0.553191489361702</x:v>
      </x:c>
      <x:c r="K22" s="3">
        <x:f t="shared" si="3"/>
        <x:v>0</x:v>
      </x:c>
      <x:c r="L22" t="s">
        <x:v>51</x:v>
      </x:c>
      <x:c r="M22" t="s">
        <x:v>83</x:v>
      </x:c>
      <x:c r="N22" t="s">
        <x:v>12</x:v>
      </x:c>
      <x:c r="O22" t="s">
        <x:v>58</x:v>
      </x:c>
    </x:row>
    <x:row r="23">
      <x:c r="A23" t="s">
        <x:v>120</x:v>
      </x:c>
      <x:c r="B23" t="s">
        <x:v>8</x:v>
      </x:c>
      <x:c r="C23" t="s">
        <x:v>68</x:v>
      </x:c>
      <x:c r="D23">
        <x:v>15</x:v>
      </x:c>
      <x:c r="E23" s="3">
        <x:f t="shared" si="0"/>
        <x:v>0.0480769230769231</x:v>
      </x:c>
      <x:c r="F23">
        <x:v>7</x:v>
      </x:c>
      <x:c r="G23">
        <x:v>8</x:v>
      </x:c>
      <x:c r="H23">
        <x:v>0</x:v>
      </x:c>
      <x:c r="I23" s="3">
        <x:f t="shared" si="1"/>
        <x:v>0.466666666666667</x:v>
      </x:c>
      <x:c r="J23" s="3">
        <x:f t="shared" si="2"/>
        <x:v>0.533333333333333</x:v>
      </x:c>
      <x:c r="K23" s="3">
        <x:f t="shared" si="3"/>
        <x:v>0</x:v>
      </x:c>
      <x:c r="L23" t="s">
        <x:v>56</x:v>
      </x:c>
      <x:c r="M23" t="s">
        <x:v>84</x:v>
      </x:c>
      <x:c r="N23" t="s">
        <x:v>12</x:v>
      </x:c>
      <x:c r="O23" t="s">
        <x:v>63</x:v>
      </x:c>
    </x:row>
    <x:row r="24">
      <x:c r="A24" t="s">
        <x:v>120</x:v>
      </x:c>
      <x:c r="B24" t="s">
        <x:v>8</x:v>
      </x:c>
      <x:c r="C24" t="s">
        <x:v>17</x:v>
      </x:c>
      <x:c r="D24">
        <x:v>14</x:v>
      </x:c>
      <x:c r="E24" s="3">
        <x:f t="shared" si="0"/>
        <x:v>0.0448717948717949</x:v>
      </x:c>
      <x:c r="F24">
        <x:v>9</x:v>
      </x:c>
      <x:c r="G24">
        <x:v>5</x:v>
      </x:c>
      <x:c r="H24">
        <x:v>0</x:v>
      </x:c>
      <x:c r="I24" s="3">
        <x:f t="shared" si="1"/>
        <x:v>0.642857142857143</x:v>
      </x:c>
      <x:c r="J24" s="3">
        <x:f t="shared" si="2"/>
        <x:v>0.357142857142857</x:v>
      </x:c>
      <x:c r="K24" s="3">
        <x:f t="shared" si="3"/>
        <x:v>0</x:v>
      </x:c>
      <x:c r="L24" t="s">
        <x:v>64</x:v>
      </x:c>
      <x:c r="M24" t="s">
        <x:v>85</x:v>
      </x:c>
      <x:c r="N24" t="s">
        <x:v>12</x:v>
      </x:c>
      <x:c r="O24" t="s">
        <x:v>58</x:v>
      </x:c>
    </x:row>
    <x:row r="25">
      <x:c r="A25" t="s">
        <x:v>120</x:v>
      </x:c>
      <x:c r="B25" t="s">
        <x:v>8</x:v>
      </x:c>
      <x:c r="C25" t="s">
        <x:v>55</x:v>
      </x:c>
      <x:c r="D25">
        <x:v>8</x:v>
      </x:c>
      <x:c r="E25" s="3">
        <x:f t="shared" si="0"/>
        <x:v>0.0256410256410256</x:v>
      </x:c>
      <x:c r="F25">
        <x:v>4</x:v>
      </x:c>
      <x:c r="G25">
        <x:v>3</x:v>
      </x:c>
      <x:c r="H25">
        <x:v>1</x:v>
      </x:c>
      <x:c r="I25" s="3">
        <x:f t="shared" si="1"/>
        <x:v>0.5</x:v>
      </x:c>
      <x:c r="J25" s="3">
        <x:f t="shared" si="2"/>
        <x:v>0.375</x:v>
      </x:c>
      <x:c r="K25" s="3">
        <x:f t="shared" si="3"/>
        <x:v>0.125</x:v>
      </x:c>
      <x:c r="L25" t="s">
        <x:v>56</x:v>
      </x:c>
      <x:c r="M25" t="s">
        <x:v>79</x:v>
      </x:c>
      <x:c r="N25" t="s">
        <x:v>15</x:v>
      </x:c>
      <x:c r="O25" t="s">
        <x:v>49</x:v>
      </x:c>
    </x:row>
    <x:row r="26">
      <x:c r="A26" t="s">
        <x:v>120</x:v>
      </x:c>
      <x:c r="B26" t="s">
        <x:v>8</x:v>
      </x:c>
      <x:c r="C26" t="s">
        <x:v>14</x:v>
      </x:c>
      <x:c r="D26">
        <x:v>8</x:v>
      </x:c>
      <x:c r="E26" s="3">
        <x:f t="shared" si="0"/>
        <x:v>0.0256410256410256</x:v>
      </x:c>
      <x:c r="F26">
        <x:v>6</x:v>
      </x:c>
      <x:c r="G26">
        <x:v>2</x:v>
      </x:c>
      <x:c r="H26">
        <x:v>0</x:v>
      </x:c>
      <x:c r="I26" s="3">
        <x:f t="shared" si="1"/>
        <x:v>0.75</x:v>
      </x:c>
      <x:c r="J26" s="3">
        <x:f t="shared" si="2"/>
        <x:v>0.25</x:v>
      </x:c>
      <x:c r="K26" s="3">
        <x:f t="shared" si="3"/>
        <x:v>0</x:v>
      </x:c>
      <x:c r="L26" t="s">
        <x:v>56</x:v>
      </x:c>
      <x:c r="M26" t="s">
        <x:v>86</x:v>
      </x:c>
      <x:c r="N26" t="s">
        <x:v>12</x:v>
      </x:c>
      <x:c r="O26" t="s">
        <x:v>58</x:v>
      </x:c>
    </x:row>
    <x:row r="27">
      <x:c r="A27" t="s">
        <x:v>120</x:v>
      </x:c>
      <x:c r="B27" t="s">
        <x:v>21</x:v>
      </x:c>
      <x:c r="C27" t="s">
        <x:v>24</x:v>
      </x:c>
      <x:c r="D27">
        <x:v>3</x:v>
      </x:c>
      <x:c r="E27" s="3">
        <x:f t="shared" si="0"/>
        <x:v>0.00961538461538462</x:v>
      </x:c>
      <x:c r="F27">
        <x:v>2</x:v>
      </x:c>
      <x:c r="G27">
        <x:v>1</x:v>
      </x:c>
      <x:c r="H27">
        <x:v>0</x:v>
      </x:c>
      <x:c r="I27" s="3">
        <x:f t="shared" si="1"/>
        <x:v>0.666666666666667</x:v>
      </x:c>
      <x:c r="J27" s="3">
        <x:f t="shared" si="2"/>
        <x:v>0.333333333333333</x:v>
      </x:c>
      <x:c r="K27" s="3">
        <x:f t="shared" si="3"/>
        <x:v>0</x:v>
      </x:c>
      <x:c r="L27" t="s">
        <x:v>56</x:v>
      </x:c>
      <x:c r="M27" t="s">
        <x:v>87</x:v>
      </x:c>
      <x:c r="N27" t="s">
        <x:v>88</x:v>
      </x:c>
      <x:c r="O27" t="s">
        <x:v>89</x:v>
      </x:c>
    </x:row>
    <x:row r="28">
      <x:c r="A28" t="s">
        <x:v>120</x:v>
      </x:c>
      <x:c r="B28" t="s">
        <x:v>21</x:v>
      </x:c>
      <x:c r="C28" t="s">
        <x:v>20</x:v>
      </x:c>
      <x:c r="D28">
        <x:v>2</x:v>
      </x:c>
      <x:c r="E28" s="3">
        <x:f t="shared" si="0"/>
        <x:v>0.00641025641025641</x:v>
      </x:c>
      <x:c r="F28">
        <x:v>1</x:v>
      </x:c>
      <x:c r="G28">
        <x:v>1</x:v>
      </x:c>
      <x:c r="H28">
        <x:v>0</x:v>
      </x:c>
      <x:c r="I28" s="3">
        <x:f t="shared" si="1"/>
        <x:v>0.5</x:v>
      </x:c>
      <x:c r="J28" s="3">
        <x:f t="shared" si="2"/>
        <x:v>0.5</x:v>
      </x:c>
      <x:c r="K28" s="3">
        <x:f t="shared" si="3"/>
        <x:v>0</x:v>
      </x:c>
      <x:c r="L28" t="s">
        <x:v>56</x:v>
      </x:c>
      <x:c r="M28" t="s">
        <x:v>79</x:v>
      </x:c>
      <x:c r="N28" t="s">
        <x:v>88</x:v>
      </x:c>
      <x:c r="O28" t="s">
        <x:v>89</x:v>
      </x:c>
    </x:row>
    <x:row r="29">
      <x:c r="A29" t="s">
        <x:v>121</x:v>
      </x:c>
      <x:c r="B29" t="s">
        <x:v>8</x:v>
      </x:c>
      <x:c r="C29" t="s">
        <x:v>7</x:v>
      </x:c>
      <x:c r="D29">
        <x:v>437</x:v>
      </x:c>
      <x:c r="E29" s="3">
        <x:f t="shared" si="0"/>
        <x:v>0.399817017383349</x:v>
      </x:c>
      <x:c r="F29">
        <x:v>218</x:v>
      </x:c>
      <x:c r="G29">
        <x:v>194</x:v>
      </x:c>
      <x:c r="H29">
        <x:v>25</x:v>
      </x:c>
      <x:c r="I29" s="3">
        <x:f t="shared" si="1"/>
        <x:v>0.498855835240275</x:v>
      </x:c>
      <x:c r="J29" s="3">
        <x:f t="shared" si="2"/>
        <x:v>0.443935926773455</x:v>
      </x:c>
      <x:c r="K29" s="3">
        <x:f t="shared" si="3"/>
        <x:v>0.05720823798627</x:v>
      </x:c>
      <x:c r="L29" t="s">
        <x:v>47</x:v>
      </x:c>
      <x:c r="M29" t="s">
        <x:v>48</x:v>
      </x:c>
      <x:c r="N29" t="s">
        <x:v>15</x:v>
      </x:c>
      <x:c r="O29" t="s">
        <x:v>49</x:v>
      </x:c>
    </x:row>
    <x:row r="30">
      <x:c r="A30" t="s">
        <x:v>121</x:v>
      </x:c>
      <x:c r="B30" t="s">
        <x:v>28</x:v>
      </x:c>
      <x:c r="C30" t="s">
        <x:v>27</x:v>
      </x:c>
      <x:c r="D30">
        <x:v>134</x:v>
      </x:c>
      <x:c r="E30" s="3">
        <x:f t="shared" si="0"/>
        <x:v>0.12259835315645</x:v>
      </x:c>
      <x:c r="F30">
        <x:v>44</x:v>
      </x:c>
      <x:c r="G30">
        <x:v>87</x:v>
      </x:c>
      <x:c r="H30">
        <x:v>3</x:v>
      </x:c>
      <x:c r="I30" s="3">
        <x:f t="shared" si="1"/>
        <x:v>0.328358208955224</x:v>
      </x:c>
      <x:c r="J30" s="3">
        <x:f t="shared" si="2"/>
        <x:v>0.649253731343284</x:v>
      </x:c>
      <x:c r="K30" s="3">
        <x:f t="shared" si="3"/>
        <x:v>0.0223880597014925</x:v>
      </x:c>
      <x:c r="L30" t="s">
        <x:v>51</x:v>
      </x:c>
      <x:c r="M30" t="s">
        <x:v>52</x:v>
      </x:c>
      <x:c r="N30" t="s">
        <x:v>22</x:v>
      </x:c>
      <x:c r="O30" t="s">
        <x:v>53</x:v>
      </x:c>
    </x:row>
    <x:row r="31">
      <x:c r="A31" t="s">
        <x:v>121</x:v>
      </x:c>
      <x:c r="B31" t="s">
        <x:v>8</x:v>
      </x:c>
      <x:c r="C31" t="s">
        <x:v>55</x:v>
      </x:c>
      <x:c r="D31">
        <x:v>119</x:v>
      </x:c>
      <x:c r="E31" s="3">
        <x:f t="shared" si="0"/>
        <x:v>0.108874656907594</x:v>
      </x:c>
      <x:c r="F31">
        <x:v>67</x:v>
      </x:c>
      <x:c r="G31">
        <x:v>50</x:v>
      </x:c>
      <x:c r="H31">
        <x:v>2</x:v>
      </x:c>
      <x:c r="I31" s="3">
        <x:f t="shared" si="1"/>
        <x:v>0.563025210084034</x:v>
      </x:c>
      <x:c r="J31" s="3">
        <x:f t="shared" si="2"/>
        <x:v>0.420168067226891</x:v>
      </x:c>
      <x:c r="K31" s="3">
        <x:f t="shared" si="3"/>
        <x:v>0.0168067226890756</x:v>
      </x:c>
      <x:c r="L31" t="s">
        <x:v>56</x:v>
      </x:c>
      <x:c r="M31" t="s">
        <x:v>57</x:v>
      </x:c>
      <x:c r="N31" t="s">
        <x:v>12</x:v>
      </x:c>
      <x:c r="O31" t="s">
        <x:v>58</x:v>
      </x:c>
    </x:row>
    <x:row r="32">
      <x:c r="A32" t="s">
        <x:v>121</x:v>
      </x:c>
      <x:c r="B32" t="s">
        <x:v>8</x:v>
      </x:c>
      <x:c r="C32" t="s">
        <x:v>14</x:v>
      </x:c>
      <x:c r="D32">
        <x:v>107</x:v>
      </x:c>
      <x:c r="E32" s="3">
        <x:f t="shared" si="0"/>
        <x:v>0.0978956999085087</x:v>
      </x:c>
      <x:c r="F32">
        <x:v>44</x:v>
      </x:c>
      <x:c r="G32">
        <x:v>51</x:v>
      </x:c>
      <x:c r="H32">
        <x:v>12</x:v>
      </x:c>
      <x:c r="I32" s="3">
        <x:f t="shared" si="1"/>
        <x:v>0.411214953271028</x:v>
      </x:c>
      <x:c r="J32" s="3">
        <x:f t="shared" si="2"/>
        <x:v>0.476635514018692</x:v>
      </x:c>
      <x:c r="K32" s="3">
        <x:f t="shared" si="3"/>
        <x:v>0.11214953271028</x:v>
      </x:c>
      <x:c r="L32" t="s">
        <x:v>56</x:v>
      </x:c>
      <x:c r="M32" t="s">
        <x:v>60</x:v>
      </x:c>
      <x:c r="N32" t="s">
        <x:v>15</x:v>
      </x:c>
      <x:c r="O32" t="s">
        <x:v>49</x:v>
      </x:c>
    </x:row>
    <x:row r="33">
      <x:c r="A33" t="s">
        <x:v>121</x:v>
      </x:c>
      <x:c r="B33" t="s">
        <x:v>8</x:v>
      </x:c>
      <x:c r="C33" t="s">
        <x:v>11</x:v>
      </x:c>
      <x:c r="D33">
        <x:v>107</x:v>
      </x:c>
      <x:c r="E33" s="3">
        <x:f t="shared" si="0"/>
        <x:v>0.0978956999085087</x:v>
      </x:c>
      <x:c r="F33">
        <x:v>59</x:v>
      </x:c>
      <x:c r="G33">
        <x:v>38</x:v>
      </x:c>
      <x:c r="H33">
        <x:v>10</x:v>
      </x:c>
      <x:c r="I33" s="3">
        <x:f t="shared" si="1"/>
        <x:v>0.551401869158878</x:v>
      </x:c>
      <x:c r="J33" s="3">
        <x:f t="shared" si="2"/>
        <x:v>0.355140186915888</x:v>
      </x:c>
      <x:c r="K33" s="3">
        <x:f t="shared" si="3"/>
        <x:v>0.0934579439252336</x:v>
      </x:c>
      <x:c r="L33" t="s">
        <x:v>47</x:v>
      </x:c>
      <x:c r="M33" t="s">
        <x:v>61</x:v>
      </x:c>
      <x:c r="N33" t="s">
        <x:v>15</x:v>
      </x:c>
      <x:c r="O33" t="s">
        <x:v>49</x:v>
      </x:c>
    </x:row>
    <x:row r="34">
      <x:c r="A34" t="s">
        <x:v>121</x:v>
      </x:c>
      <x:c r="B34" t="s">
        <x:v>21</x:v>
      </x:c>
      <x:c r="C34" t="s">
        <x:v>24</x:v>
      </x:c>
      <x:c r="D34">
        <x:v>54</x:v>
      </x:c>
      <x:c r="E34" s="3">
        <x:f t="shared" si="0"/>
        <x:v>0.0494053064958829</x:v>
      </x:c>
      <x:c r="F34">
        <x:v>21</x:v>
      </x:c>
      <x:c r="G34">
        <x:v>31</x:v>
      </x:c>
      <x:c r="H34">
        <x:v>2</x:v>
      </x:c>
      <x:c r="I34" s="3">
        <x:f t="shared" si="1"/>
        <x:v>0.388888888888889</x:v>
      </x:c>
      <x:c r="J34" s="3">
        <x:f t="shared" si="2"/>
        <x:v>0.574074074074074</x:v>
      </x:c>
      <x:c r="K34" s="3">
        <x:f t="shared" si="3"/>
        <x:v>0.037037037037037</x:v>
      </x:c>
      <x:c r="L34" t="s">
        <x:v>56</x:v>
      </x:c>
      <x:c r="M34" t="s">
        <x:v>62</x:v>
      </x:c>
      <x:c r="N34" t="s">
        <x:v>12</x:v>
      </x:c>
      <x:c r="O34" t="s">
        <x:v>63</x:v>
      </x:c>
    </x:row>
    <x:row r="35">
      <x:c r="A35" t="s">
        <x:v>121</x:v>
      </x:c>
      <x:c r="B35" t="s">
        <x:v>8</x:v>
      </x:c>
      <x:c r="C35" t="s">
        <x:v>17</x:v>
      </x:c>
      <x:c r="D35">
        <x:v>52</x:v>
      </x:c>
      <x:c r="E35" s="3">
        <x:f t="shared" si="0"/>
        <x:v>0.0475754803293687</x:v>
      </x:c>
      <x:c r="F35">
        <x:v>30</x:v>
      </x:c>
      <x:c r="G35">
        <x:v>19</x:v>
      </x:c>
      <x:c r="H35">
        <x:v>3</x:v>
      </x:c>
      <x:c r="I35" s="3">
        <x:f t="shared" si="1"/>
        <x:v>0.576923076923077</x:v>
      </x:c>
      <x:c r="J35" s="3">
        <x:f t="shared" si="2"/>
        <x:v>0.365384615384615</x:v>
      </x:c>
      <x:c r="K35" s="3">
        <x:f t="shared" si="3"/>
        <x:v>0.0576923076923077</x:v>
      </x:c>
      <x:c r="L35" t="s">
        <x:v>64</x:v>
      </x:c>
      <x:c r="M35" t="s">
        <x:v>65</x:v>
      </x:c>
      <x:c r="N35" t="s">
        <x:v>12</x:v>
      </x:c>
      <x:c r="O35" t="s">
        <x:v>58</x:v>
      </x:c>
    </x:row>
    <x:row r="36">
      <x:c r="A36" t="s">
        <x:v>121</x:v>
      </x:c>
      <x:c r="B36" t="s">
        <x:v>21</x:v>
      </x:c>
      <x:c r="C36" t="s">
        <x:v>20</x:v>
      </x:c>
      <x:c r="D36">
        <x:v>45</x:v>
      </x:c>
      <x:c r="E36" s="3">
        <x:f t="shared" si="0"/>
        <x:v>0.0411710887465691</x:v>
      </x:c>
      <x:c r="F36">
        <x:v>14</x:v>
      </x:c>
      <x:c r="G36">
        <x:v>28</x:v>
      </x:c>
      <x:c r="H36">
        <x:v>3</x:v>
      </x:c>
      <x:c r="I36" s="3">
        <x:f t="shared" si="1"/>
        <x:v>0.311111111111111</x:v>
      </x:c>
      <x:c r="J36" s="3">
        <x:f t="shared" si="2"/>
        <x:v>0.622222222222222</x:v>
      </x:c>
      <x:c r="K36" s="3">
        <x:f t="shared" si="3"/>
        <x:v>0.0666666666666667</x:v>
      </x:c>
      <x:c r="L36" t="s">
        <x:v>56</x:v>
      </x:c>
      <x:c r="M36" t="s">
        <x:v>66</x:v>
      </x:c>
      <x:c r="N36" t="s">
        <x:v>15</x:v>
      </x:c>
      <x:c r="O36" t="s">
        <x:v>67</x:v>
      </x:c>
    </x:row>
    <x:row r="37">
      <x:c r="A37" t="s">
        <x:v>121</x:v>
      </x:c>
      <x:c r="B37" t="s">
        <x:v>8</x:v>
      </x:c>
      <x:c r="C37" t="s">
        <x:v>68</x:v>
      </x:c>
      <x:c r="D37">
        <x:v>38</x:v>
      </x:c>
      <x:c r="E37" s="3">
        <x:f t="shared" si="0"/>
        <x:v>0.0347666971637694</x:v>
      </x:c>
      <x:c r="F37">
        <x:v>14</x:v>
      </x:c>
      <x:c r="G37">
        <x:v>23</x:v>
      </x:c>
      <x:c r="H37">
        <x:v>1</x:v>
      </x:c>
      <x:c r="I37" s="3">
        <x:f t="shared" si="1"/>
        <x:v>0.368421052631579</x:v>
      </x:c>
      <x:c r="J37" s="3">
        <x:f t="shared" si="2"/>
        <x:v>0.605263157894737</x:v>
      </x:c>
      <x:c r="K37" s="3">
        <x:f t="shared" si="3"/>
        <x:v>0.0263157894736842</x:v>
      </x:c>
      <x:c r="L37" t="s">
        <x:v>56</x:v>
      </x:c>
      <x:c r="M37" t="s">
        <x:v>69</x:v>
      </x:c>
      <x:c r="N37" t="s">
        <x:v>12</x:v>
      </x:c>
      <x:c r="O37" t="s">
        <x:v>63</x:v>
      </x:c>
    </x:row>
    <x:row r="38">
      <x:c r="A38" t="s">
        <x:v>122</x:v>
      </x:c>
      <x:c r="B38" t="s">
        <x:v>28</x:v>
      </x:c>
      <x:c r="C38" t="s">
        <x:v>27</x:v>
      </x:c>
      <x:c r="D38">
        <x:v>159</x:v>
      </x:c>
      <x:c r="E38" s="3">
        <x:f t="shared" si="0"/>
        <x:v>0.561837455830389</x:v>
      </x:c>
      <x:c r="F38">
        <x:v>83</x:v>
      </x:c>
      <x:c r="G38">
        <x:v>74</x:v>
      </x:c>
      <x:c r="H38">
        <x:v>2</x:v>
      </x:c>
      <x:c r="I38" s="3">
        <x:f t="shared" si="1"/>
        <x:v>0.522012578616352</x:v>
      </x:c>
      <x:c r="J38" s="3">
        <x:f t="shared" si="2"/>
        <x:v>0.465408805031447</x:v>
      </x:c>
      <x:c r="K38" s="3">
        <x:f t="shared" si="3"/>
        <x:v>0.0125786163522013</x:v>
      </x:c>
      <x:c r="L38" t="s">
        <x:v>51</x:v>
      </x:c>
      <x:c r="M38" t="s">
        <x:v>92</x:v>
      </x:c>
      <x:c r="N38" t="s">
        <x:v>12</x:v>
      </x:c>
      <x:c r="O38" t="s">
        <x:v>58</x:v>
      </x:c>
    </x:row>
    <x:row r="39">
      <x:c r="A39" t="s">
        <x:v>122</x:v>
      </x:c>
      <x:c r="B39" t="s">
        <x:v>8</x:v>
      </x:c>
      <x:c r="C39" t="s">
        <x:v>7</x:v>
      </x:c>
      <x:c r="D39">
        <x:v>73</x:v>
      </x:c>
      <x:c r="E39" s="3">
        <x:f t="shared" si="0"/>
        <x:v>0.257950530035336</x:v>
      </x:c>
      <x:c r="F39">
        <x:v>28</x:v>
      </x:c>
      <x:c r="G39">
        <x:v>42</x:v>
      </x:c>
      <x:c r="H39">
        <x:v>3</x:v>
      </x:c>
      <x:c r="I39" s="3">
        <x:f t="shared" si="1"/>
        <x:v>0.383561643835616</x:v>
      </x:c>
      <x:c r="J39" s="3">
        <x:f t="shared" si="2"/>
        <x:v>0.575342465753425</x:v>
      </x:c>
      <x:c r="K39" s="3">
        <x:f t="shared" si="3"/>
        <x:v>0.0410958904109589</x:v>
      </x:c>
      <x:c r="L39" t="s">
        <x:v>47</x:v>
      </x:c>
      <x:c r="M39" t="s">
        <x:v>93</x:v>
      </x:c>
      <x:c r="N39" t="s">
        <x:v>12</x:v>
      </x:c>
      <x:c r="O39" t="s">
        <x:v>58</x:v>
      </x:c>
    </x:row>
    <x:row r="40">
      <x:c r="A40" t="s">
        <x:v>122</x:v>
      </x:c>
      <x:c r="B40" t="s">
        <x:v>8</x:v>
      </x:c>
      <x:c r="C40" t="s">
        <x:v>68</x:v>
      </x:c>
      <x:c r="D40">
        <x:v>14</x:v>
      </x:c>
      <x:c r="E40" s="3">
        <x:f t="shared" si="0"/>
        <x:v>0.049469964664311</x:v>
      </x:c>
      <x:c r="F40">
        <x:v>6</x:v>
      </x:c>
      <x:c r="G40">
        <x:v>8</x:v>
      </x:c>
      <x:c r="H40">
        <x:v>0</x:v>
      </x:c>
      <x:c r="I40" s="3">
        <x:f t="shared" si="1"/>
        <x:v>0.428571428571429</x:v>
      </x:c>
      <x:c r="J40" s="3">
        <x:f t="shared" si="2"/>
        <x:v>0.571428571428571</x:v>
      </x:c>
      <x:c r="K40" s="3">
        <x:f t="shared" si="3"/>
        <x:v>0</x:v>
      </x:c>
      <x:c r="L40" t="s">
        <x:v>56</x:v>
      </x:c>
      <x:c r="M40" t="s">
        <x:v>94</x:v>
      </x:c>
      <x:c r="N40" t="s">
        <x:v>12</x:v>
      </x:c>
      <x:c r="O40" t="s">
        <x:v>63</x:v>
      </x:c>
    </x:row>
    <x:row r="41">
      <x:c r="A41" t="s">
        <x:v>122</x:v>
      </x:c>
      <x:c r="B41" t="s">
        <x:v>8</x:v>
      </x:c>
      <x:c r="C41" t="s">
        <x:v>55</x:v>
      </x:c>
      <x:c r="D41">
        <x:v>13</x:v>
      </x:c>
      <x:c r="E41" s="3">
        <x:f t="shared" si="0"/>
        <x:v>0.0459363957597173</x:v>
      </x:c>
      <x:c r="F41">
        <x:v>7</x:v>
      </x:c>
      <x:c r="G41">
        <x:v>6</x:v>
      </x:c>
      <x:c r="H41">
        <x:v>0</x:v>
      </x:c>
      <x:c r="I41" s="3">
        <x:f t="shared" si="1"/>
        <x:v>0.538461538461538</x:v>
      </x:c>
      <x:c r="J41" s="3">
        <x:f t="shared" si="2"/>
        <x:v>0.461538461538462</x:v>
      </x:c>
      <x:c r="K41" s="3">
        <x:f t="shared" si="3"/>
        <x:v>0</x:v>
      </x:c>
      <x:c r="L41" t="s">
        <x:v>56</x:v>
      </x:c>
      <x:c r="M41" t="s">
        <x:v>95</x:v>
      </x:c>
      <x:c r="N41" t="s">
        <x:v>12</x:v>
      </x:c>
      <x:c r="O41" t="s">
        <x:v>63</x:v>
      </x:c>
    </x:row>
    <x:row r="42">
      <x:c r="A42" t="s">
        <x:v>122</x:v>
      </x:c>
      <x:c r="B42" t="s">
        <x:v>8</x:v>
      </x:c>
      <x:c r="C42" t="s">
        <x:v>17</x:v>
      </x:c>
      <x:c r="D42">
        <x:v>8</x:v>
      </x:c>
      <x:c r="E42" s="3">
        <x:f t="shared" si="0"/>
        <x:v>0.0282685512367491</x:v>
      </x:c>
      <x:c r="F42">
        <x:v>2</x:v>
      </x:c>
      <x:c r="G42">
        <x:v>6</x:v>
      </x:c>
      <x:c r="H42">
        <x:v>0</x:v>
      </x:c>
      <x:c r="I42" s="3">
        <x:f t="shared" si="1"/>
        <x:v>0.25</x:v>
      </x:c>
      <x:c r="J42" s="3">
        <x:f t="shared" si="2"/>
        <x:v>0.75</x:v>
      </x:c>
      <x:c r="K42" s="3">
        <x:f t="shared" si="3"/>
        <x:v>0</x:v>
      </x:c>
      <x:c r="L42" t="s">
        <x:v>64</x:v>
      </x:c>
      <x:c r="M42" t="s">
        <x:v>96</x:v>
      </x:c>
      <x:c r="N42" t="s">
        <x:v>22</x:v>
      </x:c>
      <x:c r="O42" t="s">
        <x:v>53</x:v>
      </x:c>
    </x:row>
    <x:row r="43">
      <x:c r="A43" t="s">
        <x:v>122</x:v>
      </x:c>
      <x:c r="B43" t="s">
        <x:v>8</x:v>
      </x:c>
      <x:c r="C43" t="s">
        <x:v>11</x:v>
      </x:c>
      <x:c r="D43">
        <x:v>6</x:v>
      </x:c>
      <x:c r="E43" s="3">
        <x:f t="shared" si="0"/>
        <x:v>0.0212014134275618</x:v>
      </x:c>
      <x:c r="F43">
        <x:v>2</x:v>
      </x:c>
      <x:c r="G43">
        <x:v>4</x:v>
      </x:c>
      <x:c r="H43">
        <x:v>0</x:v>
      </x:c>
      <x:c r="I43" s="3">
        <x:f t="shared" si="1"/>
        <x:v>0.333333333333333</x:v>
      </x:c>
      <x:c r="J43" s="3">
        <x:f t="shared" si="2"/>
        <x:v>0.666666666666667</x:v>
      </x:c>
      <x:c r="K43" s="3">
        <x:f t="shared" si="3"/>
        <x:v>0</x:v>
      </x:c>
      <x:c r="L43" t="s">
        <x:v>47</x:v>
      </x:c>
      <x:c r="M43" t="s">
        <x:v>97</x:v>
      </x:c>
      <x:c r="N43" t="s">
        <x:v>22</x:v>
      </x:c>
      <x:c r="O43" t="s">
        <x:v>53</x:v>
      </x:c>
    </x:row>
    <x:row r="44">
      <x:c r="A44" t="s">
        <x:v>122</x:v>
      </x:c>
      <x:c r="B44" t="s">
        <x:v>21</x:v>
      </x:c>
      <x:c r="C44" t="s">
        <x:v>20</x:v>
      </x:c>
      <x:c r="D44">
        <x:v>4</x:v>
      </x:c>
      <x:c r="E44" s="3">
        <x:f t="shared" si="0"/>
        <x:v>0.0141342756183746</x:v>
      </x:c>
      <x:c r="F44">
        <x:v>0</x:v>
      </x:c>
      <x:c r="G44">
        <x:v>4</x:v>
      </x:c>
      <x:c r="H44">
        <x:v>0</x:v>
      </x:c>
      <x:c r="I44" s="3">
        <x:f t="shared" si="1"/>
        <x:v>0</x:v>
      </x:c>
      <x:c r="J44" s="3">
        <x:f t="shared" si="2"/>
        <x:v>1</x:v>
      </x:c>
      <x:c r="K44" s="3">
        <x:f t="shared" si="3"/>
        <x:v>0</x:v>
      </x:c>
      <x:c r="L44" t="s">
        <x:v>56</x:v>
      </x:c>
      <x:c r="M44" t="s">
        <x:v>98</x:v>
      </x:c>
      <x:c r="N44" t="s">
        <x:v>88</x:v>
      </x:c>
      <x:c r="O44" t="s">
        <x:v>89</x:v>
      </x:c>
    </x:row>
    <x:row r="45">
      <x:c r="A45" t="s">
        <x:v>122</x:v>
      </x:c>
      <x:c r="B45" t="s">
        <x:v>21</x:v>
      </x:c>
      <x:c r="C45" t="s">
        <x:v>24</x:v>
      </x:c>
      <x:c r="D45">
        <x:v>3</x:v>
      </x:c>
      <x:c r="E45" s="3">
        <x:f t="shared" si="0"/>
        <x:v>0.0106007067137809</x:v>
      </x:c>
      <x:c r="F45">
        <x:v>1</x:v>
      </x:c>
      <x:c r="G45">
        <x:v>2</x:v>
      </x:c>
      <x:c r="H45">
        <x:v>0</x:v>
      </x:c>
      <x:c r="I45" s="3">
        <x:f t="shared" si="1"/>
        <x:v>0.333333333333333</x:v>
      </x:c>
      <x:c r="J45" s="3">
        <x:f t="shared" si="2"/>
        <x:v>0.666666666666667</x:v>
      </x:c>
      <x:c r="K45" s="3">
        <x:f t="shared" si="3"/>
        <x:v>0</x:v>
      </x:c>
      <x:c r="L45" t="s">
        <x:v>56</x:v>
      </x:c>
      <x:c r="M45" t="s">
        <x:v>99</x:v>
      </x:c>
      <x:c r="N45" t="s">
        <x:v>88</x:v>
      </x:c>
      <x:c r="O45" t="s">
        <x:v>89</x:v>
      </x:c>
    </x:row>
    <x:row r="46">
      <x:c r="A46" t="s">
        <x:v>122</x:v>
      </x:c>
      <x:c r="B46" t="s">
        <x:v>8</x:v>
      </x:c>
      <x:c r="C46" t="s">
        <x:v>14</x:v>
      </x:c>
      <x:c r="D46">
        <x:v>3</x:v>
      </x:c>
      <x:c r="E46" s="3">
        <x:f t="shared" si="0"/>
        <x:v>0.0106007067137809</x:v>
      </x:c>
      <x:c r="F46">
        <x:v>0</x:v>
      </x:c>
      <x:c r="G46">
        <x:v>3</x:v>
      </x:c>
      <x:c r="H46">
        <x:v>0</x:v>
      </x:c>
      <x:c r="I46" s="3">
        <x:f t="shared" si="1"/>
        <x:v>0</x:v>
      </x:c>
      <x:c r="J46" s="3">
        <x:f t="shared" si="2"/>
        <x:v>1</x:v>
      </x:c>
      <x:c r="K46" s="3">
        <x:f t="shared" si="3"/>
        <x:v>0</x:v>
      </x:c>
      <x:c r="L46" t="s">
        <x:v>51</x:v>
      </x:c>
      <x:c r="M46" t="s">
        <x:v>100</x:v>
      </x:c>
      <x:c r="N46" t="s">
        <x:v>88</x:v>
      </x:c>
      <x:c r="O46" t="s">
        <x:v>89</x:v>
      </x:c>
    </x:row>
    <x:row r="47">
      <x:c r="A47" t="s">
        <x:v>123</x:v>
      </x:c>
      <x:c r="B47" t="s">
        <x:v>8</x:v>
      </x:c>
      <x:c r="C47" t="s">
        <x:v>7</x:v>
      </x:c>
      <x:c r="D47">
        <x:v>244</x:v>
      </x:c>
      <x:c r="E47" s="3">
        <x:f t="shared" si="0"/>
        <x:v>0.5635103926097</x:v>
      </x:c>
      <x:c r="F47">
        <x:v>111</x:v>
      </x:c>
      <x:c r="G47">
        <x:v>104</x:v>
      </x:c>
      <x:c r="H47">
        <x:v>29</x:v>
      </x:c>
      <x:c r="I47" s="3">
        <x:f t="shared" si="1"/>
        <x:v>0.454918032786885</x:v>
      </x:c>
      <x:c r="J47" s="3">
        <x:f t="shared" si="2"/>
        <x:v>0.426229508196721</x:v>
      </x:c>
      <x:c r="K47" s="3">
        <x:f t="shared" si="3"/>
        <x:v>0.118852459016393</x:v>
      </x:c>
      <x:c r="L47" t="s">
        <x:v>47</x:v>
      </x:c>
      <x:c r="M47" t="s">
        <x:v>71</x:v>
      </x:c>
      <x:c r="N47" t="s">
        <x:v>15</x:v>
      </x:c>
      <x:c r="O47" t="s">
        <x:v>49</x:v>
      </x:c>
    </x:row>
    <x:row r="48">
      <x:c r="A48" t="s">
        <x:v>123</x:v>
      </x:c>
      <x:c r="B48" t="s">
        <x:v>28</x:v>
      </x:c>
      <x:c r="C48" t="s">
        <x:v>27</x:v>
      </x:c>
      <x:c r="D48">
        <x:v>93</x:v>
      </x:c>
      <x:c r="E48" s="3">
        <x:f t="shared" si="0"/>
        <x:v>0.214780600461894</x:v>
      </x:c>
      <x:c r="F48">
        <x:v>34</x:v>
      </x:c>
      <x:c r="G48">
        <x:v>56</x:v>
      </x:c>
      <x:c r="H48">
        <x:v>3</x:v>
      </x:c>
      <x:c r="I48" s="3">
        <x:f t="shared" si="1"/>
        <x:v>0.365591397849462</x:v>
      </x:c>
      <x:c r="J48" s="3">
        <x:f t="shared" si="2"/>
        <x:v>0.602150537634409</x:v>
      </x:c>
      <x:c r="K48" s="3">
        <x:f t="shared" si="3"/>
        <x:v>0.032258064516129</x:v>
      </x:c>
      <x:c r="L48" t="s">
        <x:v>51</x:v>
      </x:c>
      <x:c r="M48" t="s">
        <x:v>72</x:v>
      </x:c>
      <x:c r="N48" t="s">
        <x:v>12</x:v>
      </x:c>
      <x:c r="O48" t="s">
        <x:v>58</x:v>
      </x:c>
    </x:row>
    <x:row r="49">
      <x:c r="A49" t="s">
        <x:v>123</x:v>
      </x:c>
      <x:c r="B49" t="s">
        <x:v>8</x:v>
      </x:c>
      <x:c r="C49" t="s">
        <x:v>14</x:v>
      </x:c>
      <x:c r="D49">
        <x:v>21</x:v>
      </x:c>
      <x:c r="E49" s="3">
        <x:f t="shared" si="0"/>
        <x:v>0.0484988452655889</x:v>
      </x:c>
      <x:c r="F49">
        <x:v>14</x:v>
      </x:c>
      <x:c r="G49">
        <x:v>6</x:v>
      </x:c>
      <x:c r="H49">
        <x:v>1</x:v>
      </x:c>
      <x:c r="I49" s="3">
        <x:f t="shared" si="1"/>
        <x:v>0.666666666666667</x:v>
      </x:c>
      <x:c r="J49" s="3">
        <x:f t="shared" si="2"/>
        <x:v>0.285714285714286</x:v>
      </x:c>
      <x:c r="K49" s="3">
        <x:f t="shared" si="3"/>
        <x:v>0.0476190476190476</x:v>
      </x:c>
      <x:c r="L49" t="s">
        <x:v>56</x:v>
      </x:c>
      <x:c r="M49" t="s">
        <x:v>73</x:v>
      </x:c>
      <x:c r="N49" t="s">
        <x:v>12</x:v>
      </x:c>
      <x:c r="O49" t="s">
        <x:v>58</x:v>
      </x:c>
    </x:row>
    <x:row r="50">
      <x:c r="A50" t="s">
        <x:v>123</x:v>
      </x:c>
      <x:c r="B50" t="s">
        <x:v>8</x:v>
      </x:c>
      <x:c r="C50" t="s">
        <x:v>11</x:v>
      </x:c>
      <x:c r="D50">
        <x:v>20</x:v>
      </x:c>
      <x:c r="E50" s="3">
        <x:f t="shared" si="0"/>
        <x:v>0.046189376443418</x:v>
      </x:c>
      <x:c r="F50">
        <x:v>10</x:v>
      </x:c>
      <x:c r="G50">
        <x:v>9</x:v>
      </x:c>
      <x:c r="H50">
        <x:v>1</x:v>
      </x:c>
      <x:c r="I50" s="3">
        <x:f t="shared" si="1"/>
        <x:v>0.5</x:v>
      </x:c>
      <x:c r="J50" s="3">
        <x:f t="shared" si="2"/>
        <x:v>0.45</x:v>
      </x:c>
      <x:c r="K50" s="3">
        <x:f t="shared" si="3"/>
        <x:v>0.05</x:v>
      </x:c>
      <x:c r="L50" t="s">
        <x:v>47</x:v>
      </x:c>
      <x:c r="M50" t="s">
        <x:v>74</x:v>
      </x:c>
      <x:c r="N50" t="s">
        <x:v>15</x:v>
      </x:c>
      <x:c r="O50" t="s">
        <x:v>67</x:v>
      </x:c>
    </x:row>
    <x:row r="51">
      <x:c r="A51" t="s">
        <x:v>123</x:v>
      </x:c>
      <x:c r="B51" t="s">
        <x:v>8</x:v>
      </x:c>
      <x:c r="C51" t="s">
        <x:v>68</x:v>
      </x:c>
      <x:c r="D51">
        <x:v>17</x:v>
      </x:c>
      <x:c r="E51" s="3">
        <x:f t="shared" si="0"/>
        <x:v>0.0392609699769053</x:v>
      </x:c>
      <x:c r="F51">
        <x:v>7</x:v>
      </x:c>
      <x:c r="G51">
        <x:v>10</x:v>
      </x:c>
      <x:c r="H51">
        <x:v>0</x:v>
      </x:c>
      <x:c r="I51" s="3">
        <x:f t="shared" si="1"/>
        <x:v>0.411764705882353</x:v>
      </x:c>
      <x:c r="J51" s="3">
        <x:f t="shared" si="2"/>
        <x:v>0.588235294117647</x:v>
      </x:c>
      <x:c r="K51" s="3">
        <x:f t="shared" si="3"/>
        <x:v>0</x:v>
      </x:c>
      <x:c r="L51" t="s">
        <x:v>56</x:v>
      </x:c>
      <x:c r="M51" t="s">
        <x:v>75</x:v>
      </x:c>
      <x:c r="N51" t="s">
        <x:v>12</x:v>
      </x:c>
      <x:c r="O51" t="s">
        <x:v>63</x:v>
      </x:c>
    </x:row>
    <x:row r="52">
      <x:c r="A52" t="s">
        <x:v>123</x:v>
      </x:c>
      <x:c r="B52" t="s">
        <x:v>8</x:v>
      </x:c>
      <x:c r="C52" t="s">
        <x:v>17</x:v>
      </x:c>
      <x:c r="D52">
        <x:v>13</x:v>
      </x:c>
      <x:c r="E52" s="3">
        <x:f t="shared" si="0"/>
        <x:v>0.0300230946882217</x:v>
      </x:c>
      <x:c r="F52">
        <x:v>8</x:v>
      </x:c>
      <x:c r="G52">
        <x:v>5</x:v>
      </x:c>
      <x:c r="H52">
        <x:v>0</x:v>
      </x:c>
      <x:c r="I52" s="3">
        <x:f t="shared" si="1"/>
        <x:v>0.615384615384615</x:v>
      </x:c>
      <x:c r="J52" s="3">
        <x:f t="shared" si="2"/>
        <x:v>0.384615384615385</x:v>
      </x:c>
      <x:c r="K52" s="3">
        <x:f t="shared" si="3"/>
        <x:v>0</x:v>
      </x:c>
      <x:c r="L52" t="s">
        <x:v>64</x:v>
      </x:c>
      <x:c r="M52" t="s">
        <x:v>76</x:v>
      </x:c>
      <x:c r="N52" t="s">
        <x:v>12</x:v>
      </x:c>
      <x:c r="O52" t="s">
        <x:v>58</x:v>
      </x:c>
    </x:row>
    <x:row r="53">
      <x:c r="A53" t="s">
        <x:v>123</x:v>
      </x:c>
      <x:c r="B53" t="s">
        <x:v>8</x:v>
      </x:c>
      <x:c r="C53" t="s">
        <x:v>55</x:v>
      </x:c>
      <x:c r="D53">
        <x:v>10</x:v>
      </x:c>
      <x:c r="E53" s="3">
        <x:f t="shared" si="0"/>
        <x:v>0.023094688221709</x:v>
      </x:c>
      <x:c r="F53">
        <x:v>8</x:v>
      </x:c>
      <x:c r="G53">
        <x:v>2</x:v>
      </x:c>
      <x:c r="H53">
        <x:v>0</x:v>
      </x:c>
      <x:c r="I53" s="3">
        <x:f t="shared" si="1"/>
        <x:v>0.8</x:v>
      </x:c>
      <x:c r="J53" s="3">
        <x:f t="shared" si="2"/>
        <x:v>0.2</x:v>
      </x:c>
      <x:c r="K53" s="3">
        <x:f t="shared" si="3"/>
        <x:v>0</x:v>
      </x:c>
      <x:c r="L53" t="s">
        <x:v>56</x:v>
      </x:c>
      <x:c r="M53" t="s">
        <x:v>77</x:v>
      </x:c>
      <x:c r="N53" t="s">
        <x:v>12</x:v>
      </x:c>
      <x:c r="O53" t="s">
        <x:v>58</x:v>
      </x:c>
    </x:row>
    <x:row r="54">
      <x:c r="A54" t="s">
        <x:v>123</x:v>
      </x:c>
      <x:c r="B54" t="s">
        <x:v>21</x:v>
      </x:c>
      <x:c r="C54" t="s">
        <x:v>24</x:v>
      </x:c>
      <x:c r="D54">
        <x:v>10</x:v>
      </x:c>
      <x:c r="E54" s="3">
        <x:f t="shared" si="0"/>
        <x:v>0.023094688221709</x:v>
      </x:c>
      <x:c r="F54">
        <x:v>3</x:v>
      </x:c>
      <x:c r="G54">
        <x:v>7</x:v>
      </x:c>
      <x:c r="H54">
        <x:v>0</x:v>
      </x:c>
      <x:c r="I54" s="3">
        <x:f t="shared" si="1"/>
        <x:v>0.3</x:v>
      </x:c>
      <x:c r="J54" s="3">
        <x:f t="shared" si="2"/>
        <x:v>0.7</x:v>
      </x:c>
      <x:c r="K54" s="3">
        <x:f t="shared" si="3"/>
        <x:v>0</x:v>
      </x:c>
      <x:c r="L54" t="s">
        <x:v>56</x:v>
      </x:c>
      <x:c r="M54" t="s">
        <x:v>78</x:v>
      </x:c>
      <x:c r="N54" t="s">
        <x:v>22</x:v>
      </x:c>
      <x:c r="O54" t="s">
        <x:v>53</x:v>
      </x:c>
    </x:row>
    <x:row r="55">
      <x:c r="A55" t="s">
        <x:v>123</x:v>
      </x:c>
      <x:c r="B55" t="s">
        <x:v>21</x:v>
      </x:c>
      <x:c r="C55" t="s">
        <x:v>20</x:v>
      </x:c>
      <x:c r="D55">
        <x:v>5</x:v>
      </x:c>
      <x:c r="E55" s="3">
        <x:f t="shared" si="0"/>
        <x:v>0.0115473441108545</x:v>
      </x:c>
      <x:c r="F55">
        <x:v>2</x:v>
      </x:c>
      <x:c r="G55">
        <x:v>2</x:v>
      </x:c>
      <x:c r="H55">
        <x:v>1</x:v>
      </x:c>
      <x:c r="I55" s="3">
        <x:f t="shared" si="1"/>
        <x:v>0.4</x:v>
      </x:c>
      <x:c r="J55" s="3">
        <x:f t="shared" si="2"/>
        <x:v>0.4</x:v>
      </x:c>
      <x:c r="K55" s="3">
        <x:f t="shared" si="3"/>
        <x:v>0.2</x:v>
      </x:c>
      <x:c r="L55" t="s">
        <x:v>56</x:v>
      </x:c>
      <x:c r="M55" t="s">
        <x:v>79</x:v>
      </x:c>
      <x:c r="N55" t="s">
        <x:v>15</x:v>
      </x:c>
      <x:c r="O55" t="s">
        <x:v>49</x:v>
      </x:c>
    </x:row>
  </x:sheetData>
  <x:mergeCells>
    <x:mergeCell ref="A1:O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4"/>
  <x:cols>
    <x:col min="1" max="1" width="16" customWidth="1"/>
    <x:col min="2" max="2" width="20" customWidth="1"/>
    <x:col min="3" max="4" width="16" customWidth="1"/>
    <x:col min="5" max="6" width="10" customWidth="1"/>
    <x:col min="7" max="7" width="12" customWidth="1"/>
    <x:col min="8" max="10" width="9" customWidth="1"/>
    <x:col min="11" max="12" width="10" customWidth="1"/>
    <x:col min="13" max="13" width="12" customWidth="1"/>
  </x:cols>
  <x:sheetData>
    <x:row r="1" ht="20">
      <x:c r="A1" s="1" t="s">
        <x:v>124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3">
      <x:c r="A3" s="2" t="s">
        <x:v>117</x:v>
      </x:c>
      <x:c r="B3" s="2" t="s">
        <x:v>4</x:v>
      </x:c>
      <x:c r="C3" s="2" t="s">
        <x:v>125</x:v>
      </x:c>
      <x:c r="D3" s="2" t="s">
        <x:v>126</x:v>
      </x:c>
      <x:c r="E3" s="2" t="s">
        <x:v>34</x:v>
      </x:c>
      <x:c r="F3" s="2" t="s">
        <x:v>127</x:v>
      </x:c>
      <x:c r="G3" s="2" t="s">
        <x:v>35</x:v>
      </x:c>
      <x:c r="H3" s="2" t="s">
        <x:v>36</x:v>
      </x:c>
      <x:c r="I3" s="2" t="s">
        <x:v>37</x:v>
      </x:c>
      <x:c r="J3" s="2" t="s">
        <x:v>38</x:v>
      </x:c>
      <x:c r="K3" s="2" t="s">
        <x:v>39</x:v>
      </x:c>
      <x:c r="L3" s="2" t="s">
        <x:v>41</x:v>
      </x:c>
      <x:c r="M3" s="2" t="s">
        <x:v>128</x:v>
      </x:c>
    </x:row>
    <x:row r="4">
      <x:c r="A4" t="s">
        <x:v>129</x:v>
      </x:c>
      <x:c r="B4" t="s">
        <x:v>8</x:v>
      </x:c>
      <x:c r="C4" t="s">
        <x:v>7</x:v>
      </x:c>
      <x:c r="D4" t="s">
        <x:v>47</x:v>
      </x:c>
      <x:c r="E4">
        <x:v>467</x:v>
      </x:c>
      <x:c r="F4" s="3" t="e">
        <x:f>E4/全局统计!$B$4</x:f>
        <x:v>#NAME?</x:v>
      </x:c>
      <x:c r="G4" s="3" t="n">
        <x:f t="shared" ref="G4:G67" si="0">E4/SUMIFS($E:$E,$A:$A,$A4)</x:f>
        <x:v>0.1986388770735857</x:v>
      </x:c>
      <x:c r="H4">
        <x:v>236</x:v>
      </x:c>
      <x:c r="I4">
        <x:v>198</x:v>
      </x:c>
      <x:c r="J4">
        <x:v>33</x:v>
      </x:c>
      <x:c r="K4" s="3" t="n">
        <x:f t="shared" ref="K4:K67" si="1">H4/E4</x:f>
        <x:v>0.5053533190578159</x:v>
      </x:c>
      <x:c r="L4" s="3" t="n">
        <x:f t="shared" ref="L4:L67" si="2">J4/E4</x:f>
        <x:v>0.07066381156316917</x:v>
      </x:c>
      <x:c r="M4" t="s">
        <x:v>130</x:v>
      </x:c>
    </x:row>
    <x:row r="5">
      <x:c r="A5" t="s">
        <x:v>129</x:v>
      </x:c>
      <x:c r="B5" t="s">
        <x:v>8</x:v>
      </x:c>
      <x:c r="C5" t="s">
        <x:v>55</x:v>
      </x:c>
      <x:c r="D5" t="s">
        <x:v>56</x:v>
      </x:c>
      <x:c r="E5">
        <x:v>308</x:v>
      </x:c>
      <x:c r="F5" s="3" t="e">
        <x:f>E5/全局统计!$B$4</x:f>
        <x:v>#NAME?</x:v>
      </x:c>
      <x:c r="G5" s="3">
        <x:f t="shared" si="0"/>
        <x:v>0.131008081667376</x:v>
      </x:c>
      <x:c r="H5">
        <x:v>148</x:v>
      </x:c>
      <x:c r="I5">
        <x:v>153</x:v>
      </x:c>
      <x:c r="J5">
        <x:v>7</x:v>
      </x:c>
      <x:c r="K5" s="3">
        <x:f t="shared" si="1"/>
        <x:v>0.480519480519481</x:v>
      </x:c>
      <x:c r="L5" s="3">
        <x:f t="shared" si="2"/>
        <x:v>0.0227272727272727</x:v>
      </x:c>
      <x:c r="M5" t="s">
        <x:v>131</x:v>
      </x:c>
    </x:row>
    <x:row r="6">
      <x:c r="A6" t="s">
        <x:v>129</x:v>
      </x:c>
      <x:c r="B6" t="s">
        <x:v>8</x:v>
      </x:c>
      <x:c r="C6" t="s">
        <x:v>14</x:v>
      </x:c>
      <x:c r="D6" t="s">
        <x:v>56</x:v>
      </x:c>
      <x:c r="E6">
        <x:v>298</x:v>
      </x:c>
      <x:c r="F6" s="3" t="e">
        <x:f>E6/全局统计!$B$4</x:f>
        <x:v>#NAME?</x:v>
      </x:c>
      <x:c r="G6" s="3">
        <x:f t="shared" si="0"/>
        <x:v>0.126754572522331</x:v>
      </x:c>
      <x:c r="H6">
        <x:v>111</x:v>
      </x:c>
      <x:c r="I6">
        <x:v>176</x:v>
      </x:c>
      <x:c r="J6">
        <x:v>11</x:v>
      </x:c>
      <x:c r="K6" s="3">
        <x:f t="shared" si="1"/>
        <x:v>0.37248322147651</x:v>
      </x:c>
      <x:c r="L6" s="3">
        <x:f t="shared" si="2"/>
        <x:v>0.0369127516778524</x:v>
      </x:c>
      <x:c r="M6" t="s">
        <x:v>131</x:v>
      </x:c>
    </x:row>
    <x:row r="7">
      <x:c r="A7" t="s">
        <x:v>121</x:v>
      </x:c>
      <x:c r="B7" t="s">
        <x:v>8</x:v>
      </x:c>
      <x:c r="C7" t="s">
        <x:v>7</x:v>
      </x:c>
      <x:c r="D7" t="s">
        <x:v>47</x:v>
      </x:c>
      <x:c r="E7">
        <x:v>293</x:v>
      </x:c>
      <x:c r="F7" s="3" t="e">
        <x:f>E7/全局统计!$B$4</x:f>
        <x:v>#NAME?</x:v>
      </x:c>
      <x:c r="G7" s="3">
        <x:f t="shared" si="0"/>
        <x:v>0.268069533394328</x:v>
      </x:c>
      <x:c r="H7">
        <x:v>139</x:v>
      </x:c>
      <x:c r="I7">
        <x:v>134</x:v>
      </x:c>
      <x:c r="J7">
        <x:v>20</x:v>
      </x:c>
      <x:c r="K7" s="3">
        <x:f t="shared" si="1"/>
        <x:v>0.474402730375427</x:v>
      </x:c>
      <x:c r="L7" s="3">
        <x:f t="shared" si="2"/>
        <x:v>0.068259385665529</x:v>
      </x:c>
      <x:c r="M7" t="s">
        <x:v>130</x:v>
      </x:c>
    </x:row>
    <x:row r="8">
      <x:c r="A8" t="s">
        <x:v>129</x:v>
      </x:c>
      <x:c r="B8" t="s">
        <x:v>21</x:v>
      </x:c>
      <x:c r="C8" t="s">
        <x:v>24</x:v>
      </x:c>
      <x:c r="D8" t="s">
        <x:v>56</x:v>
      </x:c>
      <x:c r="E8">
        <x:v>185</x:v>
      </x:c>
      <x:c r="F8" s="3" t="e">
        <x:f>E8/全局统计!$B$4</x:f>
        <x:v>#NAME?</x:v>
      </x:c>
      <x:c r="G8" s="3">
        <x:f t="shared" si="0"/>
        <x:v>0.0786899191833262</x:v>
      </x:c>
      <x:c r="H8">
        <x:v>63</x:v>
      </x:c>
      <x:c r="I8">
        <x:v>119</x:v>
      </x:c>
      <x:c r="J8">
        <x:v>3</x:v>
      </x:c>
      <x:c r="K8" s="3">
        <x:f t="shared" si="1"/>
        <x:v>0.340540540540541</x:v>
      </x:c>
      <x:c r="L8" s="3">
        <x:f t="shared" si="2"/>
        <x:v>0.0162162162162162</x:v>
      </x:c>
      <x:c r="M8" t="s">
        <x:v>131</x:v>
      </x:c>
    </x:row>
    <x:row r="9">
      <x:c r="A9" t="s">
        <x:v>129</x:v>
      </x:c>
      <x:c r="B9" t="s">
        <x:v>8</x:v>
      </x:c>
      <x:c r="C9" t="s">
        <x:v>11</x:v>
      </x:c>
      <x:c r="D9" t="s">
        <x:v>47</x:v>
      </x:c>
      <x:c r="E9">
        <x:v>181</x:v>
      </x:c>
      <x:c r="F9" s="3" t="e">
        <x:f>E9/全局统计!$B$4</x:f>
        <x:v>#NAME?</x:v>
      </x:c>
      <x:c r="G9" s="3">
        <x:f t="shared" si="0"/>
        <x:v>0.0769885155253084</x:v>
      </x:c>
      <x:c r="H9">
        <x:v>94</x:v>
      </x:c>
      <x:c r="I9">
        <x:v>72</x:v>
      </x:c>
      <x:c r="J9">
        <x:v>15</x:v>
      </x:c>
      <x:c r="K9" s="3">
        <x:f t="shared" si="1"/>
        <x:v>0.519337016574586</x:v>
      </x:c>
      <x:c r="L9" s="3">
        <x:f t="shared" si="2"/>
        <x:v>0.0828729281767956</x:v>
      </x:c>
      <x:c r="M9" t="s">
        <x:v>130</x:v>
      </x:c>
    </x:row>
    <x:row r="10">
      <x:c r="A10" t="s">
        <x:v>123</x:v>
      </x:c>
      <x:c r="B10" t="s">
        <x:v>8</x:v>
      </x:c>
      <x:c r="C10" t="s">
        <x:v>7</x:v>
      </x:c>
      <x:c r="D10" t="s">
        <x:v>47</x:v>
      </x:c>
      <x:c r="E10">
        <x:v>173</x:v>
      </x:c>
      <x:c r="F10" s="3" t="e">
        <x:f>E10/全局统计!$B$4</x:f>
        <x:v>#NAME?</x:v>
      </x:c>
      <x:c r="G10" s="3">
        <x:f t="shared" si="0"/>
        <x:v>0.399538106235566</x:v>
      </x:c>
      <x:c r="H10">
        <x:v>64</x:v>
      </x:c>
      <x:c r="I10">
        <x:v>85</x:v>
      </x:c>
      <x:c r="J10">
        <x:v>24</x:v>
      </x:c>
      <x:c r="K10" s="3">
        <x:f t="shared" si="1"/>
        <x:v>0.369942196531792</x:v>
      </x:c>
      <x:c r="L10" s="3">
        <x:f t="shared" si="2"/>
        <x:v>0.138728323699422</x:v>
      </x:c>
      <x:c r="M10" t="s">
        <x:v>131</x:v>
      </x:c>
    </x:row>
    <x:row r="11">
      <x:c r="A11" t="s">
        <x:v>129</x:v>
      </x:c>
      <x:c r="B11" t="s">
        <x:v>8</x:v>
      </x:c>
      <x:c r="C11" t="s">
        <x:v>7</x:v>
      </x:c>
      <x:c r="D11" t="s">
        <x:v>56</x:v>
      </x:c>
      <x:c r="E11">
        <x:v>134</x:v>
      </x:c>
      <x:c r="F11" s="3" t="e">
        <x:f>E11/全局统计!$B$4</x:f>
        <x:v>#NAME?</x:v>
      </x:c>
      <x:c r="G11" s="3">
        <x:f t="shared" si="0"/>
        <x:v>0.0569970225435985</x:v>
      </x:c>
      <x:c r="H11">
        <x:v>68</x:v>
      </x:c>
      <x:c r="I11">
        <x:v>65</x:v>
      </x:c>
      <x:c r="J11">
        <x:v>1</x:v>
      </x:c>
      <x:c r="K11" s="3">
        <x:f t="shared" si="1"/>
        <x:v>0.507462686567164</x:v>
      </x:c>
      <x:c r="L11" s="3">
        <x:f t="shared" si="2"/>
        <x:v>0.00746268656716418</x:v>
      </x:c>
      <x:c r="M11" t="s">
        <x:v>130</x:v>
      </x:c>
    </x:row>
    <x:row r="12">
      <x:c r="A12" t="s">
        <x:v>129</x:v>
      </x:c>
      <x:c r="B12" t="s">
        <x:v>21</x:v>
      </x:c>
      <x:c r="C12" t="s">
        <x:v>20</x:v>
      </x:c>
      <x:c r="D12" t="s">
        <x:v>56</x:v>
      </x:c>
      <x:c r="E12">
        <x:v>125</x:v>
      </x:c>
      <x:c r="F12" s="3" t="e">
        <x:f>E12/全局统计!$B$4</x:f>
        <x:v>#NAME?</x:v>
      </x:c>
      <x:c r="G12" s="3">
        <x:f t="shared" si="0"/>
        <x:v>0.0531688643130583</x:v>
      </x:c>
      <x:c r="H12">
        <x:v>49</x:v>
      </x:c>
      <x:c r="I12">
        <x:v>74</x:v>
      </x:c>
      <x:c r="J12">
        <x:v>2</x:v>
      </x:c>
      <x:c r="K12" s="3">
        <x:f t="shared" si="1"/>
        <x:v>0.392</x:v>
      </x:c>
      <x:c r="L12" s="3">
        <x:f t="shared" si="2"/>
        <x:v>0.016</x:v>
      </x:c>
      <x:c r="M12" t="s">
        <x:v>131</x:v>
      </x:c>
    </x:row>
    <x:row r="13">
      <x:c r="A13" t="s">
        <x:v>122</x:v>
      </x:c>
      <x:c r="B13" t="s">
        <x:v>28</x:v>
      </x:c>
      <x:c r="C13" t="s">
        <x:v>27</x:v>
      </x:c>
      <x:c r="D13" t="s">
        <x:v>51</x:v>
      </x:c>
      <x:c r="E13">
        <x:v>123</x:v>
      </x:c>
      <x:c r="F13" s="3" t="e">
        <x:f>E13/全局统计!$B$4</x:f>
        <x:v>#NAME?</x:v>
      </x:c>
      <x:c r="G13" s="3">
        <x:f t="shared" si="0"/>
        <x:v>0.434628975265018</x:v>
      </x:c>
      <x:c r="H13">
        <x:v>60</x:v>
      </x:c>
      <x:c r="I13">
        <x:v>62</x:v>
      </x:c>
      <x:c r="J13">
        <x:v>1</x:v>
      </x:c>
      <x:c r="K13" s="3">
        <x:f t="shared" si="1"/>
        <x:v>0.48780487804878</x:v>
      </x:c>
      <x:c r="L13" s="3">
        <x:f t="shared" si="2"/>
        <x:v>0.00813008130081301</x:v>
      </x:c>
      <x:c r="M13" t="s">
        <x:v>131</x:v>
      </x:c>
    </x:row>
    <x:row r="14">
      <x:c r="A14" t="s">
        <x:v>121</x:v>
      </x:c>
      <x:c r="B14" t="s">
        <x:v>8</x:v>
      </x:c>
      <x:c r="C14" t="s">
        <x:v>55</x:v>
      </x:c>
      <x:c r="D14" t="s">
        <x:v>56</x:v>
      </x:c>
      <x:c r="E14">
        <x:v>94</x:v>
      </x:c>
      <x:c r="F14" s="3" t="e">
        <x:f>E14/全局统计!$B$4</x:f>
        <x:v>#NAME?</x:v>
      </x:c>
      <x:c r="G14" s="3">
        <x:f t="shared" si="0"/>
        <x:v>0.0860018298261665</x:v>
      </x:c>
      <x:c r="H14">
        <x:v>48</x:v>
      </x:c>
      <x:c r="I14">
        <x:v>44</x:v>
      </x:c>
      <x:c r="J14">
        <x:v>2</x:v>
      </x:c>
      <x:c r="K14" s="3">
        <x:f t="shared" si="1"/>
        <x:v>0.51063829787234</x:v>
      </x:c>
      <x:c r="L14" s="3">
        <x:f t="shared" si="2"/>
        <x:v>0.0212765957446809</x:v>
      </x:c>
      <x:c r="M14" t="s">
        <x:v>130</x:v>
      </x:c>
    </x:row>
    <x:row r="15">
      <x:c r="A15" t="s">
        <x:v>121</x:v>
      </x:c>
      <x:c r="B15" t="s">
        <x:v>28</x:v>
      </x:c>
      <x:c r="C15" t="s">
        <x:v>27</x:v>
      </x:c>
      <x:c r="D15" t="s">
        <x:v>51</x:v>
      </x:c>
      <x:c r="E15">
        <x:v>92</x:v>
      </x:c>
      <x:c r="F15" s="3" t="e">
        <x:f>E15/全局统计!$B$4</x:f>
        <x:v>#NAME?</x:v>
      </x:c>
      <x:c r="G15" s="3">
        <x:f t="shared" si="0"/>
        <x:v>0.0841720036596523</x:v>
      </x:c>
      <x:c r="H15">
        <x:v>21</x:v>
      </x:c>
      <x:c r="I15">
        <x:v>68</x:v>
      </x:c>
      <x:c r="J15">
        <x:v>3</x:v>
      </x:c>
      <x:c r="K15" s="3">
        <x:f t="shared" si="1"/>
        <x:v>0.228260869565217</x:v>
      </x:c>
      <x:c r="L15" s="3">
        <x:f t="shared" si="2"/>
        <x:v>0.0326086956521739</x:v>
      </x:c>
      <x:c r="M15" t="s">
        <x:v>131</x:v>
      </x:c>
    </x:row>
    <x:row r="16">
      <x:c r="A16" t="s">
        <x:v>120</x:v>
      </x:c>
      <x:c r="B16" t="s">
        <x:v>8</x:v>
      </x:c>
      <x:c r="C16" t="s">
        <x:v>7</x:v>
      </x:c>
      <x:c r="D16" t="s">
        <x:v>47</x:v>
      </x:c>
      <x:c r="E16">
        <x:v>87</x:v>
      </x:c>
      <x:c r="F16" s="3" t="e">
        <x:f>E16/全局统计!$B$4</x:f>
        <x:v>#NAME?</x:v>
      </x:c>
      <x:c r="G16" s="3">
        <x:f t="shared" si="0"/>
        <x:v>0.278846153846154</x:v>
      </x:c>
      <x:c r="H16">
        <x:v>33</x:v>
      </x:c>
      <x:c r="I16">
        <x:v>46</x:v>
      </x:c>
      <x:c r="J16">
        <x:v>8</x:v>
      </x:c>
      <x:c r="K16" s="3">
        <x:f t="shared" si="1"/>
        <x:v>0.379310344827586</x:v>
      </x:c>
      <x:c r="L16" s="3">
        <x:f t="shared" si="2"/>
        <x:v>0.0919540229885057</x:v>
      </x:c>
      <x:c r="M16" t="s">
        <x:v>131</x:v>
      </x:c>
    </x:row>
    <x:row r="17">
      <x:c r="A17" t="s">
        <x:v>129</x:v>
      </x:c>
      <x:c r="B17" t="s">
        <x:v>28</x:v>
      </x:c>
      <x:c r="C17" t="s">
        <x:v>27</x:v>
      </x:c>
      <x:c r="D17" t="s">
        <x:v>51</x:v>
      </x:c>
      <x:c r="E17">
        <x:v>86</x:v>
      </x:c>
      <x:c r="F17" s="3" t="e">
        <x:f>E17/全局统计!$B$4</x:f>
        <x:v>#NAME?</x:v>
      </x:c>
      <x:c r="G17" s="3">
        <x:f t="shared" si="0"/>
        <x:v>0.0365801786473841</x:v>
      </x:c>
      <x:c r="H17">
        <x:v>24</x:v>
      </x:c>
      <x:c r="I17">
        <x:v>58</x:v>
      </x:c>
      <x:c r="J17">
        <x:v>4</x:v>
      </x:c>
      <x:c r="K17" s="3">
        <x:f t="shared" si="1"/>
        <x:v>0.27906976744186</x:v>
      </x:c>
      <x:c r="L17" s="3">
        <x:f t="shared" si="2"/>
        <x:v>0.0465116279069767</x:v>
      </x:c>
      <x:c r="M17" t="s">
        <x:v>131</x:v>
      </x:c>
    </x:row>
    <x:row r="18">
      <x:c r="A18" t="s">
        <x:v>121</x:v>
      </x:c>
      <x:c r="B18" t="s">
        <x:v>8</x:v>
      </x:c>
      <x:c r="C18" t="s">
        <x:v>14</x:v>
      </x:c>
      <x:c r="D18" t="s">
        <x:v>56</x:v>
      </x:c>
      <x:c r="E18">
        <x:v>86</x:v>
      </x:c>
      <x:c r="F18" s="3" t="e">
        <x:f>E18/全局统计!$B$4</x:f>
        <x:v>#NAME?</x:v>
      </x:c>
      <x:c r="G18" s="3">
        <x:f t="shared" si="0"/>
        <x:v>0.0786825251601098</x:v>
      </x:c>
      <x:c r="H18">
        <x:v>34</x:v>
      </x:c>
      <x:c r="I18">
        <x:v>45</x:v>
      </x:c>
      <x:c r="J18">
        <x:v>7</x:v>
      </x:c>
      <x:c r="K18" s="3">
        <x:f t="shared" si="1"/>
        <x:v>0.395348837209302</x:v>
      </x:c>
      <x:c r="L18" s="3">
        <x:f t="shared" si="2"/>
        <x:v>0.0813953488372093</x:v>
      </x:c>
      <x:c r="M18" t="s">
        <x:v>131</x:v>
      </x:c>
    </x:row>
    <x:row r="19">
      <x:c r="A19" t="s">
        <x:v>129</x:v>
      </x:c>
      <x:c r="B19" t="s">
        <x:v>8</x:v>
      </x:c>
      <x:c r="C19" t="s">
        <x:v>68</x:v>
      </x:c>
      <x:c r="D19" t="s">
        <x:v>56</x:v>
      </x:c>
      <x:c r="E19">
        <x:v>73</x:v>
      </x:c>
      <x:c r="F19" s="3" t="e">
        <x:f>E19/全局统计!$B$4</x:f>
        <x:v>#NAME?</x:v>
      </x:c>
      <x:c r="G19" s="3">
        <x:f t="shared" si="0"/>
        <x:v>0.031050616758826</x:v>
      </x:c>
      <x:c r="H19">
        <x:v>22</x:v>
      </x:c>
      <x:c r="I19">
        <x:v>49</x:v>
      </x:c>
      <x:c r="J19">
        <x:v>2</x:v>
      </x:c>
      <x:c r="K19" s="3">
        <x:f t="shared" si="1"/>
        <x:v>0.301369863013699</x:v>
      </x:c>
      <x:c r="L19" s="3">
        <x:f t="shared" si="2"/>
        <x:v>0.0273972602739726</x:v>
      </x:c>
      <x:c r="M19" t="s">
        <x:v>131</x:v>
      </x:c>
    </x:row>
    <x:row r="20">
      <x:c r="A20" t="s">
        <x:v>121</x:v>
      </x:c>
      <x:c r="B20" t="s">
        <x:v>8</x:v>
      </x:c>
      <x:c r="C20" t="s">
        <x:v>11</x:v>
      </x:c>
      <x:c r="D20" t="s">
        <x:v>47</x:v>
      </x:c>
      <x:c r="E20">
        <x:v>70</x:v>
      </x:c>
      <x:c r="F20" s="3" t="e">
        <x:f>E20/全局统计!$B$4</x:f>
        <x:v>#NAME?</x:v>
      </x:c>
      <x:c r="G20" s="3">
        <x:f t="shared" si="0"/>
        <x:v>0.0640439158279963</x:v>
      </x:c>
      <x:c r="H20">
        <x:v>40</x:v>
      </x:c>
      <x:c r="I20">
        <x:v>21</x:v>
      </x:c>
      <x:c r="J20">
        <x:v>9</x:v>
      </x:c>
      <x:c r="K20" s="3">
        <x:f t="shared" si="1"/>
        <x:v>0.571428571428571</x:v>
      </x:c>
      <x:c r="L20" s="3">
        <x:f t="shared" si="2"/>
        <x:v>0.128571428571429</x:v>
      </x:c>
      <x:c r="M20" t="s">
        <x:v>130</x:v>
      </x:c>
    </x:row>
    <x:row r="21">
      <x:c r="A21" t="s">
        <x:v>119</x:v>
      </x:c>
      <x:c r="B21" t="s">
        <x:v>8</x:v>
      </x:c>
      <x:c r="C21" t="s">
        <x:v>7</x:v>
      </x:c>
      <x:c r="D21" t="s">
        <x:v>47</x:v>
      </x:c>
      <x:c r="E21">
        <x:v>56</x:v>
      </x:c>
      <x:c r="F21" s="3" t="e">
        <x:f>E21/全局统计!$B$4</x:f>
        <x:v>#NAME?</x:v>
      </x:c>
      <x:c r="G21" s="3">
        <x:f t="shared" si="0"/>
        <x:v>0.265402843601896</x:v>
      </x:c>
      <x:c r="H21">
        <x:v>28</x:v>
      </x:c>
      <x:c r="I21">
        <x:v>25</x:v>
      </x:c>
      <x:c r="J21">
        <x:v>3</x:v>
      </x:c>
      <x:c r="K21" s="3">
        <x:f t="shared" si="1"/>
        <x:v>0.5</x:v>
      </x:c>
      <x:c r="L21" s="3">
        <x:f t="shared" si="2"/>
        <x:v>0.0535714285714286</x:v>
      </x:c>
      <x:c r="M21" t="s">
        <x:v>130</x:v>
      </x:c>
    </x:row>
    <x:row r="22">
      <x:c r="A22" t="s">
        <x:v>123</x:v>
      </x:c>
      <x:c r="B22" t="s">
        <x:v>28</x:v>
      </x:c>
      <x:c r="C22" t="s">
        <x:v>27</x:v>
      </x:c>
      <x:c r="D22" t="s">
        <x:v>51</x:v>
      </x:c>
      <x:c r="E22">
        <x:v>47</x:v>
      </x:c>
      <x:c r="F22" s="3" t="e">
        <x:f>E22/全局统计!$B$4</x:f>
        <x:v>#NAME?</x:v>
      </x:c>
      <x:c r="G22" s="3">
        <x:f t="shared" si="0"/>
        <x:v>0.108545034642032</x:v>
      </x:c>
      <x:c r="H22">
        <x:v>10</x:v>
      </x:c>
      <x:c r="I22">
        <x:v>34</x:v>
      </x:c>
      <x:c r="J22">
        <x:v>3</x:v>
      </x:c>
      <x:c r="K22" s="3">
        <x:f t="shared" si="1"/>
        <x:v>0.212765957446809</x:v>
      </x:c>
      <x:c r="L22" s="3">
        <x:f t="shared" si="2"/>
        <x:v>0.0638297872340425</x:v>
      </x:c>
      <x:c r="M22" t="s">
        <x:v>131</x:v>
      </x:c>
    </x:row>
    <x:row r="23">
      <x:c r="A23" t="s">
        <x:v>121</x:v>
      </x:c>
      <x:c r="B23" t="s">
        <x:v>8</x:v>
      </x:c>
      <x:c r="C23" t="s">
        <x:v>7</x:v>
      </x:c>
      <x:c r="D23" t="s">
        <x:v>64</x:v>
      </x:c>
      <x:c r="E23">
        <x:v>46</x:v>
      </x:c>
      <x:c r="F23" s="3" t="e">
        <x:f>E23/全局统计!$B$4</x:f>
        <x:v>#NAME?</x:v>
      </x:c>
      <x:c r="G23" s="3">
        <x:f t="shared" si="0"/>
        <x:v>0.0420860018298262</x:v>
      </x:c>
      <x:c r="H23">
        <x:v>29</x:v>
      </x:c>
      <x:c r="I23">
        <x:v>16</x:v>
      </x:c>
      <x:c r="J23">
        <x:v>1</x:v>
      </x:c>
      <x:c r="K23" s="3">
        <x:f t="shared" si="1"/>
        <x:v>0.630434782608696</x:v>
      </x:c>
      <x:c r="L23" s="3">
        <x:f t="shared" si="2"/>
        <x:v>0.0217391304347826</x:v>
      </x:c>
      <x:c r="M23" t="s">
        <x:v>130</x:v>
      </x:c>
    </x:row>
    <x:row r="24">
      <x:c r="A24" t="s">
        <x:v>121</x:v>
      </x:c>
      <x:c r="B24" t="s">
        <x:v>8</x:v>
      </x:c>
      <x:c r="C24" t="s">
        <x:v>7</x:v>
      </x:c>
      <x:c r="D24" t="s">
        <x:v>56</x:v>
      </x:c>
      <x:c r="E24">
        <x:v>46</x:v>
      </x:c>
      <x:c r="F24" s="3" t="e">
        <x:f>E24/全局统计!$B$4</x:f>
        <x:v>#NAME?</x:v>
      </x:c>
      <x:c r="G24" s="3">
        <x:f t="shared" si="0"/>
        <x:v>0.0420860018298262</x:v>
      </x:c>
      <x:c r="H24">
        <x:v>25</x:v>
      </x:c>
      <x:c r="I24">
        <x:v>20</x:v>
      </x:c>
      <x:c r="J24">
        <x:v>1</x:v>
      </x:c>
      <x:c r="K24" s="3">
        <x:f t="shared" si="1"/>
        <x:v>0.543478260869565</x:v>
      </x:c>
      <x:c r="L24" s="3">
        <x:f t="shared" si="2"/>
        <x:v>0.0217391304347826</x:v>
      </x:c>
      <x:c r="M24" t="s">
        <x:v>130</x:v>
      </x:c>
    </x:row>
    <x:row r="25">
      <x:c r="A25" t="s">
        <x:v>120</x:v>
      </x:c>
      <x:c r="B25" t="s">
        <x:v>8</x:v>
      </x:c>
      <x:c r="C25" t="s">
        <x:v>7</x:v>
      </x:c>
      <x:c r="D25" t="s">
        <x:v>132</x:v>
      </x:c>
      <x:c r="E25">
        <x:v>45</x:v>
      </x:c>
      <x:c r="F25" s="3" t="e">
        <x:f>E25/全局统计!$B$4</x:f>
        <x:v>#NAME?</x:v>
      </x:c>
      <x:c r="G25" s="3">
        <x:f t="shared" si="0"/>
        <x:v>0.144230769230769</x:v>
      </x:c>
      <x:c r="H25">
        <x:v>35</x:v>
      </x:c>
      <x:c r="I25">
        <x:v>9</x:v>
      </x:c>
      <x:c r="J25">
        <x:v>1</x:v>
      </x:c>
      <x:c r="K25" s="3">
        <x:f t="shared" si="1"/>
        <x:v>0.777777777777778</x:v>
      </x:c>
      <x:c r="L25" s="3">
        <x:f t="shared" si="2"/>
        <x:v>0.0222222222222222</x:v>
      </x:c>
      <x:c r="M25" t="s">
        <x:v>130</x:v>
      </x:c>
    </x:row>
    <x:row r="26">
      <x:c r="A26" t="s">
        <x:v>122</x:v>
      </x:c>
      <x:c r="B26" t="s">
        <x:v>8</x:v>
      </x:c>
      <x:c r="C26" t="s">
        <x:v>7</x:v>
      </x:c>
      <x:c r="D26" t="s">
        <x:v>47</x:v>
      </x:c>
      <x:c r="E26">
        <x:v>43</x:v>
      </x:c>
      <x:c r="F26" s="3" t="e">
        <x:f>E26/全局统计!$B$4</x:f>
        <x:v>#NAME?</x:v>
      </x:c>
      <x:c r="G26" s="3">
        <x:f t="shared" si="0"/>
        <x:v>0.151943462897526</x:v>
      </x:c>
      <x:c r="H26">
        <x:v>13</x:v>
      </x:c>
      <x:c r="I26">
        <x:v>27</x:v>
      </x:c>
      <x:c r="J26">
        <x:v>3</x:v>
      </x:c>
      <x:c r="K26" s="3">
        <x:f t="shared" si="1"/>
        <x:v>0.302325581395349</x:v>
      </x:c>
      <x:c r="L26" s="3">
        <x:f t="shared" si="2"/>
        <x:v>0.0697674418604651</x:v>
      </x:c>
      <x:c r="M26" t="s">
        <x:v>131</x:v>
      </x:c>
    </x:row>
    <x:row r="27">
      <x:c r="A27" t="s">
        <x:v>120</x:v>
      </x:c>
      <x:c r="B27" t="s">
        <x:v>8</x:v>
      </x:c>
      <x:c r="C27" t="s">
        <x:v>11</x:v>
      </x:c>
      <x:c r="D27" t="s">
        <x:v>47</x:v>
      </x:c>
      <x:c r="E27">
        <x:v>40</x:v>
      </x:c>
      <x:c r="F27" s="3" t="e">
        <x:f>E27/全局统计!$B$4</x:f>
        <x:v>#NAME?</x:v>
      </x:c>
      <x:c r="G27" s="3">
        <x:f t="shared" si="0"/>
        <x:v>0.128205128205128</x:v>
      </x:c>
      <x:c r="H27">
        <x:v>13</x:v>
      </x:c>
      <x:c r="I27">
        <x:v>24</x:v>
      </x:c>
      <x:c r="J27">
        <x:v>3</x:v>
      </x:c>
      <x:c r="K27" s="3">
        <x:f t="shared" si="1"/>
        <x:v>0.325</x:v>
      </x:c>
      <x:c r="L27" s="3">
        <x:f t="shared" si="2"/>
        <x:v>0.075</x:v>
      </x:c>
      <x:c r="M27" t="s">
        <x:v>131</x:v>
      </x:c>
    </x:row>
    <x:row r="28">
      <x:c r="A28" t="s">
        <x:v>121</x:v>
      </x:c>
      <x:c r="B28" t="s">
        <x:v>8</x:v>
      </x:c>
      <x:c r="C28" t="s">
        <x:v>7</x:v>
      </x:c>
      <x:c r="D28" t="s">
        <x:v>51</x:v>
      </x:c>
      <x:c r="E28">
        <x:v>39</x:v>
      </x:c>
      <x:c r="F28" s="3" t="e">
        <x:f>E28/全局统计!$B$4</x:f>
        <x:v>#NAME?</x:v>
      </x:c>
      <x:c r="G28" s="3">
        <x:f t="shared" si="0"/>
        <x:v>0.0356816102470265</x:v>
      </x:c>
      <x:c r="H28">
        <x:v>21</x:v>
      </x:c>
      <x:c r="I28">
        <x:v>15</x:v>
      </x:c>
      <x:c r="J28">
        <x:v>3</x:v>
      </x:c>
      <x:c r="K28" s="3">
        <x:f t="shared" si="1"/>
        <x:v>0.538461538461538</x:v>
      </x:c>
      <x:c r="L28" s="3">
        <x:f t="shared" si="2"/>
        <x:v>0.0769230769230769</x:v>
      </x:c>
      <x:c r="M28" t="s">
        <x:v>130</x:v>
      </x:c>
    </x:row>
    <x:row r="29">
      <x:c r="A29" t="s">
        <x:v>129</x:v>
      </x:c>
      <x:c r="B29" t="s">
        <x:v>8</x:v>
      </x:c>
      <x:c r="C29" t="s">
        <x:v>17</x:v>
      </x:c>
      <x:c r="D29" t="s">
        <x:v>64</x:v>
      </x:c>
      <x:c r="E29">
        <x:v>38</x:v>
      </x:c>
      <x:c r="F29" s="3" t="e">
        <x:f>E29/全局统计!$B$4</x:f>
        <x:v>#NAME?</x:v>
      </x:c>
      <x:c r="G29" s="3">
        <x:f t="shared" si="0"/>
        <x:v>0.0161633347511697</x:v>
      </x:c>
      <x:c r="H29">
        <x:v>9</x:v>
      </x:c>
      <x:c r="I29">
        <x:v>28</x:v>
      </x:c>
      <x:c r="J29">
        <x:v>1</x:v>
      </x:c>
      <x:c r="K29" s="3">
        <x:f t="shared" si="1"/>
        <x:v>0.236842105263158</x:v>
      </x:c>
      <x:c r="L29" s="3">
        <x:f t="shared" si="2"/>
        <x:v>0.0263157894736842</x:v>
      </x:c>
      <x:c r="M29" t="s">
        <x:v>131</x:v>
      </x:c>
    </x:row>
    <x:row r="30">
      <x:c r="A30" t="s">
        <x:v>129</x:v>
      </x:c>
      <x:c r="B30" t="s">
        <x:v>8</x:v>
      </x:c>
      <x:c r="C30" t="s">
        <x:v>7</x:v>
      </x:c>
      <x:c r="D30" t="s">
        <x:v>51</x:v>
      </x:c>
      <x:c r="E30">
        <x:v>33</x:v>
      </x:c>
      <x:c r="F30" s="3" t="e">
        <x:f>E30/全局统计!$B$4</x:f>
        <x:v>#NAME?</x:v>
      </x:c>
      <x:c r="G30" s="3">
        <x:f t="shared" si="0"/>
        <x:v>0.0140365801786474</x:v>
      </x:c>
      <x:c r="H30">
        <x:v>15</x:v>
      </x:c>
      <x:c r="I30">
        <x:v>17</x:v>
      </x:c>
      <x:c r="J30">
        <x:v>1</x:v>
      </x:c>
      <x:c r="K30" s="3">
        <x:f t="shared" si="1"/>
        <x:v>0.454545454545455</x:v>
      </x:c>
      <x:c r="L30" s="3">
        <x:f t="shared" si="2"/>
        <x:v>0.0303030303030303</x:v>
      </x:c>
      <x:c r="M30" t="s">
        <x:v>131</x:v>
      </x:c>
    </x:row>
    <x:row r="31">
      <x:c r="A31" t="s">
        <x:v>119</x:v>
      </x:c>
      <x:c r="B31" t="s">
        <x:v>8</x:v>
      </x:c>
      <x:c r="C31" t="s">
        <x:v>17</x:v>
      </x:c>
      <x:c r="D31" t="s">
        <x:v>64</x:v>
      </x:c>
      <x:c r="E31">
        <x:v>32</x:v>
      </x:c>
      <x:c r="F31" s="3" t="e">
        <x:f>E31/全局统计!$B$4</x:f>
        <x:v>#NAME?</x:v>
      </x:c>
      <x:c r="G31" s="3">
        <x:f t="shared" si="0"/>
        <x:v>0.151658767772512</x:v>
      </x:c>
      <x:c r="H31">
        <x:v>12</x:v>
      </x:c>
      <x:c r="I31">
        <x:v>20</x:v>
      </x:c>
      <x:c r="J31">
        <x:v>0</x:v>
      </x:c>
      <x:c r="K31" s="3">
        <x:f t="shared" si="1"/>
        <x:v>0.375</x:v>
      </x:c>
      <x:c r="L31" s="3">
        <x:f t="shared" si="2"/>
        <x:v>0</x:v>
      </x:c>
      <x:c r="M31" t="s">
        <x:v>131</x:v>
      </x:c>
    </x:row>
    <x:row r="32">
      <x:c r="A32" t="s">
        <x:v>129</x:v>
      </x:c>
      <x:c r="B32" t="s">
        <x:v>21</x:v>
      </x:c>
      <x:c r="C32" t="s">
        <x:v>20</x:v>
      </x:c>
      <x:c r="D32" t="s">
        <x:v>47</x:v>
      </x:c>
      <x:c r="E32">
        <x:v>32</x:v>
      </x:c>
      <x:c r="F32" s="3" t="e">
        <x:f>E32/全局统计!$B$4</x:f>
        <x:v>#NAME?</x:v>
      </x:c>
      <x:c r="G32" s="3">
        <x:f t="shared" si="0"/>
        <x:v>0.0136112292641429</x:v>
      </x:c>
      <x:c r="H32">
        <x:v>30</x:v>
      </x:c>
      <x:c r="I32">
        <x:v>1</x:v>
      </x:c>
      <x:c r="J32">
        <x:v>1</x:v>
      </x:c>
      <x:c r="K32" s="3">
        <x:f t="shared" si="1"/>
        <x:v>0.9375</x:v>
      </x:c>
      <x:c r="L32" s="3">
        <x:f t="shared" si="2"/>
        <x:v>0.03125</x:v>
      </x:c>
      <x:c r="M32" t="s">
        <x:v>130</x:v>
      </x:c>
    </x:row>
    <x:row r="33">
      <x:c r="A33" t="s">
        <x:v>129</x:v>
      </x:c>
      <x:c r="B33" t="s">
        <x:v>8</x:v>
      </x:c>
      <x:c r="C33" t="s">
        <x:v>7</x:v>
      </x:c>
      <x:c r="D33" t="s">
        <x:v>64</x:v>
      </x:c>
      <x:c r="E33">
        <x:v>32</x:v>
      </x:c>
      <x:c r="F33" s="3" t="e">
        <x:f>E33/全局统计!$B$4</x:f>
        <x:v>#NAME?</x:v>
      </x:c>
      <x:c r="G33" s="3">
        <x:f t="shared" si="0"/>
        <x:v>0.0136112292641429</x:v>
      </x:c>
      <x:c r="H33">
        <x:v>24</x:v>
      </x:c>
      <x:c r="I33">
        <x:v>6</x:v>
      </x:c>
      <x:c r="J33">
        <x:v>2</x:v>
      </x:c>
      <x:c r="K33" s="3">
        <x:f t="shared" si="1"/>
        <x:v>0.75</x:v>
      </x:c>
      <x:c r="L33" s="3">
        <x:f t="shared" si="2"/>
        <x:v>0.0625</x:v>
      </x:c>
      <x:c r="M33" t="s">
        <x:v>130</x:v>
      </x:c>
    </x:row>
    <x:row r="34">
      <x:c r="A34" t="s">
        <x:v>129</x:v>
      </x:c>
      <x:c r="B34" t="s">
        <x:v>8</x:v>
      </x:c>
      <x:c r="C34" t="s">
        <x:v>11</x:v>
      </x:c>
      <x:c r="D34" t="s">
        <x:v>56</x:v>
      </x:c>
      <x:c r="E34">
        <x:v>32</x:v>
      </x:c>
      <x:c r="F34" s="3" t="e">
        <x:f>E34/全局统计!$B$4</x:f>
        <x:v>#NAME?</x:v>
      </x:c>
      <x:c r="G34" s="3">
        <x:f t="shared" si="0"/>
        <x:v>0.0136112292641429</x:v>
      </x:c>
      <x:c r="H34">
        <x:v>12</x:v>
      </x:c>
      <x:c r="I34">
        <x:v>19</x:v>
      </x:c>
      <x:c r="J34">
        <x:v>1</x:v>
      </x:c>
      <x:c r="K34" s="3">
        <x:f t="shared" si="1"/>
        <x:v>0.375</x:v>
      </x:c>
      <x:c r="L34" s="3">
        <x:f t="shared" si="2"/>
        <x:v>0.03125</x:v>
      </x:c>
      <x:c r="M34" t="s">
        <x:v>131</x:v>
      </x:c>
    </x:row>
    <x:row r="35">
      <x:c r="A35" t="s">
        <x:v>121</x:v>
      </x:c>
      <x:c r="B35" t="s">
        <x:v>8</x:v>
      </x:c>
      <x:c r="C35" t="s">
        <x:v>68</x:v>
      </x:c>
      <x:c r="D35" t="s">
        <x:v>56</x:v>
      </x:c>
      <x:c r="E35">
        <x:v>31</x:v>
      </x:c>
      <x:c r="F35" s="3" t="e">
        <x:f>E35/全局统计!$B$4</x:f>
        <x:v>#NAME?</x:v>
      </x:c>
      <x:c r="G35" s="3">
        <x:f t="shared" si="0"/>
        <x:v>0.0283623055809698</x:v>
      </x:c>
      <x:c r="H35">
        <x:v>8</x:v>
      </x:c>
      <x:c r="I35">
        <x:v>22</x:v>
      </x:c>
      <x:c r="J35">
        <x:v>1</x:v>
      </x:c>
      <x:c r="K35" s="3">
        <x:f t="shared" si="1"/>
        <x:v>0.258064516129032</x:v>
      </x:c>
      <x:c r="L35" s="3">
        <x:f t="shared" si="2"/>
        <x:v>0.032258064516129</x:v>
      </x:c>
      <x:c r="M35" t="s">
        <x:v>131</x:v>
      </x:c>
    </x:row>
    <x:row r="36">
      <x:c r="A36" t="s">
        <x:v>121</x:v>
      </x:c>
      <x:c r="B36" t="s">
        <x:v>21</x:v>
      </x:c>
      <x:c r="C36" t="s">
        <x:v>24</x:v>
      </x:c>
      <x:c r="D36" t="s">
        <x:v>56</x:v>
      </x:c>
      <x:c r="E36">
        <x:v>29</x:v>
      </x:c>
      <x:c r="F36" s="3" t="e">
        <x:f>E36/全局统计!$B$4</x:f>
        <x:v>#NAME?</x:v>
      </x:c>
      <x:c r="G36" s="3">
        <x:f t="shared" si="0"/>
        <x:v>0.0265324794144556</x:v>
      </x:c>
      <x:c r="H36">
        <x:v>3</x:v>
      </x:c>
      <x:c r="I36">
        <x:v>25</x:v>
      </x:c>
      <x:c r="J36">
        <x:v>1</x:v>
      </x:c>
      <x:c r="K36" s="3">
        <x:f t="shared" si="1"/>
        <x:v>0.103448275862069</x:v>
      </x:c>
      <x:c r="L36" s="3">
        <x:f t="shared" si="2"/>
        <x:v>0.0344827586206897</x:v>
      </x:c>
      <x:c r="M36" t="s">
        <x:v>131</x:v>
      </x:c>
    </x:row>
    <x:row r="37">
      <x:c r="A37" t="s">
        <x:v>121</x:v>
      </x:c>
      <x:c r="B37" t="s">
        <x:v>8</x:v>
      </x:c>
      <x:c r="C37" t="s">
        <x:v>17</x:v>
      </x:c>
      <x:c r="D37" t="s">
        <x:v>64</x:v>
      </x:c>
      <x:c r="E37">
        <x:v>27</x:v>
      </x:c>
      <x:c r="F37" s="3" t="e">
        <x:f>E37/全局统计!$B$4</x:f>
        <x:v>#NAME?</x:v>
      </x:c>
      <x:c r="G37" s="3">
        <x:f t="shared" si="0"/>
        <x:v>0.0247026532479414</x:v>
      </x:c>
      <x:c r="H37">
        <x:v>11</x:v>
      </x:c>
      <x:c r="I37">
        <x:v>13</x:v>
      </x:c>
      <x:c r="J37">
        <x:v>3</x:v>
      </x:c>
      <x:c r="K37" s="3">
        <x:f t="shared" si="1"/>
        <x:v>0.407407407407407</x:v>
      </x:c>
      <x:c r="L37" s="3">
        <x:f t="shared" si="2"/>
        <x:v>0.111111111111111</x:v>
      </x:c>
      <x:c r="M37" t="s">
        <x:v>131</x:v>
      </x:c>
    </x:row>
    <x:row r="38">
      <x:c r="A38" t="s">
        <x:v>129</x:v>
      </x:c>
      <x:c r="B38" t="s">
        <x:v>8</x:v>
      </x:c>
      <x:c r="C38" t="s">
        <x:v>14</x:v>
      </x:c>
      <x:c r="D38" t="s">
        <x:v>51</x:v>
      </x:c>
      <x:c r="E38">
        <x:v>26</x:v>
      </x:c>
      <x:c r="F38" s="3" t="e">
        <x:f>E38/全局统计!$B$4</x:f>
        <x:v>#NAME?</x:v>
      </x:c>
      <x:c r="G38" s="3">
        <x:f t="shared" si="0"/>
        <x:v>0.0110591237771161</x:v>
      </x:c>
      <x:c r="H38">
        <x:v>23</x:v>
      </x:c>
      <x:c r="I38">
        <x:v>3</x:v>
      </x:c>
      <x:c r="J38">
        <x:v>0</x:v>
      </x:c>
      <x:c r="K38" s="3">
        <x:f t="shared" si="1"/>
        <x:v>0.884615384615385</x:v>
      </x:c>
      <x:c r="L38" s="3">
        <x:f t="shared" si="2"/>
        <x:v>0</x:v>
      </x:c>
      <x:c r="M38" t="s">
        <x:v>130</x:v>
      </x:c>
    </x:row>
    <x:row r="39">
      <x:c r="A39" t="s">
        <x:v>121</x:v>
      </x:c>
      <x:c r="B39" t="s">
        <x:v>21</x:v>
      </x:c>
      <x:c r="C39" t="s">
        <x:v>20</x:v>
      </x:c>
      <x:c r="D39" t="s">
        <x:v>56</x:v>
      </x:c>
      <x:c r="E39">
        <x:v>26</x:v>
      </x:c>
      <x:c r="F39" s="3" t="e">
        <x:f>E39/全局统计!$B$4</x:f>
        <x:v>#NAME?</x:v>
      </x:c>
      <x:c r="G39" s="3">
        <x:f t="shared" si="0"/>
        <x:v>0.0237877401646844</x:v>
      </x:c>
      <x:c r="H39">
        <x:v>4</x:v>
      </x:c>
      <x:c r="I39">
        <x:v>21</x:v>
      </x:c>
      <x:c r="J39">
        <x:v>1</x:v>
      </x:c>
      <x:c r="K39" s="3">
        <x:f t="shared" si="1"/>
        <x:v>0.153846153846154</x:v>
      </x:c>
      <x:c r="L39" s="3">
        <x:f t="shared" si="2"/>
        <x:v>0.0384615384615385</x:v>
      </x:c>
      <x:c r="M39" t="s">
        <x:v>131</x:v>
      </x:c>
    </x:row>
    <x:row r="40">
      <x:c r="A40" t="s">
        <x:v>123</x:v>
      </x:c>
      <x:c r="B40" t="s">
        <x:v>8</x:v>
      </x:c>
      <x:c r="C40" t="s">
        <x:v>7</x:v>
      </x:c>
      <x:c r="D40" t="s">
        <x:v>64</x:v>
      </x:c>
      <x:c r="E40">
        <x:v>26</x:v>
      </x:c>
      <x:c r="F40" s="3" t="e">
        <x:f>E40/全局统计!$B$4</x:f>
        <x:v>#NAME?</x:v>
      </x:c>
      <x:c r="G40" s="3">
        <x:f t="shared" si="0"/>
        <x:v>0.0600461893764434</x:v>
      </x:c>
      <x:c r="H40">
        <x:v>21</x:v>
      </x:c>
      <x:c r="I40">
        <x:v>4</x:v>
      </x:c>
      <x:c r="J40">
        <x:v>1</x:v>
      </x:c>
      <x:c r="K40" s="3">
        <x:f t="shared" si="1"/>
        <x:v>0.807692307692308</x:v>
      </x:c>
      <x:c r="L40" s="3">
        <x:f t="shared" si="2"/>
        <x:v>0.0384615384615385</x:v>
      </x:c>
      <x:c r="M40" t="s">
        <x:v>130</x:v>
      </x:c>
    </x:row>
    <x:row r="41">
      <x:c r="A41" t="s">
        <x:v>129</x:v>
      </x:c>
      <x:c r="B41" t="s">
        <x:v>28</x:v>
      </x:c>
      <x:c r="C41" t="s">
        <x:v>27</x:v>
      </x:c>
      <x:c r="D41" t="s">
        <x:v>56</x:v>
      </x:c>
      <x:c r="E41">
        <x:v>25</x:v>
      </x:c>
      <x:c r="F41" s="3" t="e">
        <x:f>E41/全局统计!$B$4</x:f>
        <x:v>#NAME?</x:v>
      </x:c>
      <x:c r="G41" s="3">
        <x:f t="shared" si="0"/>
        <x:v>0.0106337728626117</x:v>
      </x:c>
      <x:c r="H41">
        <x:v>18</x:v>
      </x:c>
      <x:c r="I41">
        <x:v>6</x:v>
      </x:c>
      <x:c r="J41">
        <x:v>1</x:v>
      </x:c>
      <x:c r="K41" s="3">
        <x:f t="shared" si="1"/>
        <x:v>0.72</x:v>
      </x:c>
      <x:c r="L41" s="3">
        <x:f t="shared" si="2"/>
        <x:v>0.04</x:v>
      </x:c>
      <x:c r="M41" t="s">
        <x:v>130</x:v>
      </x:c>
    </x:row>
    <x:row r="42">
      <x:c r="A42" t="s">
        <x:v>120</x:v>
      </x:c>
      <x:c r="B42" t="s">
        <x:v>28</x:v>
      </x:c>
      <x:c r="C42" t="s">
        <x:v>27</x:v>
      </x:c>
      <x:c r="D42" t="s">
        <x:v>51</x:v>
      </x:c>
      <x:c r="E42">
        <x:v>23</x:v>
      </x:c>
      <x:c r="F42" s="3" t="e">
        <x:f>E42/全局统计!$B$4</x:f>
        <x:v>#NAME?</x:v>
      </x:c>
      <x:c r="G42" s="3">
        <x:f t="shared" si="0"/>
        <x:v>0.0737179487179487</x:v>
      </x:c>
      <x:c r="H42">
        <x:v>6</x:v>
      </x:c>
      <x:c r="I42">
        <x:v>17</x:v>
      </x:c>
      <x:c r="J42">
        <x:v>0</x:v>
      </x:c>
      <x:c r="K42" s="3">
        <x:f t="shared" si="1"/>
        <x:v>0.260869565217391</x:v>
      </x:c>
      <x:c r="L42" s="3">
        <x:f t="shared" si="2"/>
        <x:v>0</x:v>
      </x:c>
      <x:c r="M42" t="s">
        <x:v>131</x:v>
      </x:c>
    </x:row>
    <x:row r="43">
      <x:c r="A43" t="s">
        <x:v>118</x:v>
      </x:c>
      <x:c r="B43" t="s">
        <x:v>8</x:v>
      </x:c>
      <x:c r="C43" t="s">
        <x:v>7</x:v>
      </x:c>
      <x:c r="D43" t="s">
        <x:v>47</x:v>
      </x:c>
      <x:c r="E43">
        <x:v>22</x:v>
      </x:c>
      <x:c r="F43" s="3" t="e">
        <x:f>E43/全局统计!$B$4</x:f>
        <x:v>#NAME?</x:v>
      </x:c>
      <x:c r="G43" s="3">
        <x:f t="shared" si="0"/>
        <x:v>0.34375</x:v>
      </x:c>
      <x:c r="H43">
        <x:v>12</x:v>
      </x:c>
      <x:c r="I43">
        <x:v>5</x:v>
      </x:c>
      <x:c r="J43">
        <x:v>5</x:v>
      </x:c>
      <x:c r="K43" s="3">
        <x:f t="shared" si="1"/>
        <x:v>0.545454545454545</x:v>
      </x:c>
      <x:c r="L43" s="3">
        <x:f t="shared" si="2"/>
        <x:v>0.227272727272727</x:v>
      </x:c>
      <x:c r="M43" t="s">
        <x:v>130</x:v>
      </x:c>
    </x:row>
    <x:row r="44">
      <x:c r="A44" t="s">
        <x:v>119</x:v>
      </x:c>
      <x:c r="B44" t="s">
        <x:v>28</x:v>
      </x:c>
      <x:c r="C44" t="s">
        <x:v>27</x:v>
      </x:c>
      <x:c r="D44" t="s">
        <x:v>51</x:v>
      </x:c>
      <x:c r="E44">
        <x:v>22</x:v>
      </x:c>
      <x:c r="F44" s="3" t="e">
        <x:f>E44/全局统计!$B$4</x:f>
        <x:v>#NAME?</x:v>
      </x:c>
      <x:c r="G44" s="3">
        <x:f t="shared" si="0"/>
        <x:v>0.104265402843602</x:v>
      </x:c>
      <x:c r="H44">
        <x:v>11</x:v>
      </x:c>
      <x:c r="I44">
        <x:v>11</x:v>
      </x:c>
      <x:c r="J44">
        <x:v>0</x:v>
      </x:c>
      <x:c r="K44" s="3">
        <x:f t="shared" si="1"/>
        <x:v>0.5</x:v>
      </x:c>
      <x:c r="L44" s="3">
        <x:f t="shared" si="2"/>
        <x:v>0</x:v>
      </x:c>
      <x:c r="M44" t="s">
        <x:v>130</x:v>
      </x:c>
    </x:row>
    <x:row r="45">
      <x:c r="A45" t="s">
        <x:v>119</x:v>
      </x:c>
      <x:c r="B45" t="s">
        <x:v>8</x:v>
      </x:c>
      <x:c r="C45" t="s">
        <x:v>7</x:v>
      </x:c>
      <x:c r="D45" t="s">
        <x:v>64</x:v>
      </x:c>
      <x:c r="E45">
        <x:v>21</x:v>
      </x:c>
      <x:c r="F45" s="3" t="e">
        <x:f>E45/全局统计!$B$4</x:f>
        <x:v>#NAME?</x:v>
      </x:c>
      <x:c r="G45" s="3">
        <x:f t="shared" si="0"/>
        <x:v>0.0995260663507109</x:v>
      </x:c>
      <x:c r="H45">
        <x:v>19</x:v>
      </x:c>
      <x:c r="I45">
        <x:v>2</x:v>
      </x:c>
      <x:c r="J45">
        <x:v>0</x:v>
      </x:c>
      <x:c r="K45" s="3">
        <x:f t="shared" si="1"/>
        <x:v>0.904761904761905</x:v>
      </x:c>
      <x:c r="L45" s="3">
        <x:f t="shared" si="2"/>
        <x:v>0</x:v>
      </x:c>
      <x:c r="M45" t="s">
        <x:v>130</x:v>
      </x:c>
    </x:row>
    <x:row r="46">
      <x:c r="A46" t="s">
        <x:v>121</x:v>
      </x:c>
      <x:c r="B46" t="s">
        <x:v>8</x:v>
      </x:c>
      <x:c r="C46" t="s">
        <x:v>11</x:v>
      </x:c>
      <x:c r="D46" t="s">
        <x:v>56</x:v>
      </x:c>
      <x:c r="E46">
        <x:v>21</x:v>
      </x:c>
      <x:c r="F46" s="3" t="e">
        <x:f>E46/全局统计!$B$4</x:f>
        <x:v>#NAME?</x:v>
      </x:c>
      <x:c r="G46" s="3">
        <x:f t="shared" si="0"/>
        <x:v>0.0192131747483989</x:v>
      </x:c>
      <x:c r="H46">
        <x:v>10</x:v>
      </x:c>
      <x:c r="I46">
        <x:v>10</x:v>
      </x:c>
      <x:c r="J46">
        <x:v>1</x:v>
      </x:c>
      <x:c r="K46" s="3">
        <x:f t="shared" si="1"/>
        <x:v>0.476190476190476</x:v>
      </x:c>
      <x:c r="L46" s="3">
        <x:f t="shared" si="2"/>
        <x:v>0.0476190476190476</x:v>
      </x:c>
      <x:c r="M46" t="s">
        <x:v>130</x:v>
      </x:c>
    </x:row>
    <x:row r="47">
      <x:c r="A47" t="s">
        <x:v>123</x:v>
      </x:c>
      <x:c r="B47" t="s">
        <x:v>8</x:v>
      </x:c>
      <x:c r="C47" t="s">
        <x:v>7</x:v>
      </x:c>
      <x:c r="D47" t="s">
        <x:v>51</x:v>
      </x:c>
      <x:c r="E47">
        <x:v>19</x:v>
      </x:c>
      <x:c r="F47" s="3" t="e">
        <x:f>E47/全局统计!$B$4</x:f>
        <x:v>#NAME?</x:v>
      </x:c>
      <x:c r="G47" s="3">
        <x:f t="shared" si="0"/>
        <x:v>0.0438799076212471</x:v>
      </x:c>
      <x:c r="H47">
        <x:v>12</x:v>
      </x:c>
      <x:c r="I47">
        <x:v>5</x:v>
      </x:c>
      <x:c r="J47">
        <x:v>2</x:v>
      </x:c>
      <x:c r="K47" s="3">
        <x:f t="shared" si="1"/>
        <x:v>0.631578947368421</x:v>
      </x:c>
      <x:c r="L47" s="3">
        <x:f t="shared" si="2"/>
        <x:v>0.105263157894737</x:v>
      </x:c>
      <x:c r="M47" t="s">
        <x:v>130</x:v>
      </x:c>
    </x:row>
    <x:row r="48">
      <x:c r="A48" t="s">
        <x:v>121</x:v>
      </x:c>
      <x:c r="B48" t="s">
        <x:v>21</x:v>
      </x:c>
      <x:c r="C48" t="s">
        <x:v>24</x:v>
      </x:c>
      <x:c r="D48" t="s">
        <x:v>51</x:v>
      </x:c>
      <x:c r="E48">
        <x:v>18</x:v>
      </x:c>
      <x:c r="F48" s="3" t="e">
        <x:f>E48/全局统计!$B$4</x:f>
        <x:v>#NAME?</x:v>
      </x:c>
      <x:c r="G48" s="3">
        <x:f t="shared" si="0"/>
        <x:v>0.0164684354986276</x:v>
      </x:c>
      <x:c r="H48">
        <x:v>13</x:v>
      </x:c>
      <x:c r="I48">
        <x:v>4</x:v>
      </x:c>
      <x:c r="J48">
        <x:v>1</x:v>
      </x:c>
      <x:c r="K48" s="3">
        <x:f t="shared" si="1"/>
        <x:v>0.722222222222222</x:v>
      </x:c>
      <x:c r="L48" s="3">
        <x:f t="shared" si="2"/>
        <x:v>0.0555555555555556</x:v>
      </x:c>
      <x:c r="M48" t="s">
        <x:v>130</x:v>
      </x:c>
    </x:row>
    <x:row r="49">
      <x:c r="A49" t="s">
        <x:v>123</x:v>
      </x:c>
      <x:c r="B49" t="s">
        <x:v>28</x:v>
      </x:c>
      <x:c r="C49" t="s">
        <x:v>27</x:v>
      </x:c>
      <x:c r="D49" t="s">
        <x:v>47</x:v>
      </x:c>
      <x:c r="E49">
        <x:v>18</x:v>
      </x:c>
      <x:c r="F49" s="3" t="e">
        <x:f>E49/全局统计!$B$4</x:f>
        <x:v>#NAME?</x:v>
      </x:c>
      <x:c r="G49" s="3">
        <x:f t="shared" si="0"/>
        <x:v>0.0415704387990762</x:v>
      </x:c>
      <x:c r="H49">
        <x:v>12</x:v>
      </x:c>
      <x:c r="I49">
        <x:v>6</x:v>
      </x:c>
      <x:c r="J49">
        <x:v>0</x:v>
      </x:c>
      <x:c r="K49" s="3">
        <x:f t="shared" si="1"/>
        <x:v>0.666666666666667</x:v>
      </x:c>
      <x:c r="L49" s="3">
        <x:f t="shared" si="2"/>
        <x:v>0</x:v>
      </x:c>
      <x:c r="M49" t="s">
        <x:v>130</x:v>
      </x:c>
    </x:row>
    <x:row r="50">
      <x:c r="A50" t="s">
        <x:v>129</x:v>
      </x:c>
      <x:c r="B50" t="s">
        <x:v>21</x:v>
      </x:c>
      <x:c r="C50" t="s">
        <x:v>24</x:v>
      </x:c>
      <x:c r="D50" t="s">
        <x:v>111</x:v>
      </x:c>
      <x:c r="E50">
        <x:v>17</x:v>
      </x:c>
      <x:c r="F50" s="3" t="e">
        <x:f>E50/全局统计!$B$4</x:f>
        <x:v>#NAME?</x:v>
      </x:c>
      <x:c r="G50" s="3">
        <x:f t="shared" si="0"/>
        <x:v>0.00723096554657592</x:v>
      </x:c>
      <x:c r="H50">
        <x:v>4</x:v>
      </x:c>
      <x:c r="I50">
        <x:v>13</x:v>
      </x:c>
      <x:c r="J50">
        <x:v>0</x:v>
      </x:c>
      <x:c r="K50" s="3">
        <x:f t="shared" si="1"/>
        <x:v>0.235294117647059</x:v>
      </x:c>
      <x:c r="L50" s="3">
        <x:f t="shared" si="2"/>
        <x:v>0</x:v>
      </x:c>
      <x:c r="M50" t="s">
        <x:v>131</x:v>
      </x:c>
    </x:row>
    <x:row r="51">
      <x:c r="A51" t="s">
        <x:v>119</x:v>
      </x:c>
      <x:c r="B51" t="s">
        <x:v>28</x:v>
      </x:c>
      <x:c r="C51" t="s">
        <x:v>27</x:v>
      </x:c>
      <x:c r="D51" t="s">
        <x:v>64</x:v>
      </x:c>
      <x:c r="E51">
        <x:v>16</x:v>
      </x:c>
      <x:c r="F51" s="3" t="e">
        <x:f>E51/全局统计!$B$4</x:f>
        <x:v>#NAME?</x:v>
      </x:c>
      <x:c r="G51" s="3">
        <x:f t="shared" si="0"/>
        <x:v>0.0758293838862559</x:v>
      </x:c>
      <x:c r="H51">
        <x:v>12</x:v>
      </x:c>
      <x:c r="I51">
        <x:v>4</x:v>
      </x:c>
      <x:c r="J51">
        <x:v>0</x:v>
      </x:c>
      <x:c r="K51" s="3">
        <x:f t="shared" si="1"/>
        <x:v>0.75</x:v>
      </x:c>
      <x:c r="L51" s="3">
        <x:f t="shared" si="2"/>
        <x:v>0</x:v>
      </x:c>
      <x:c r="M51" t="s">
        <x:v>130</x:v>
      </x:c>
    </x:row>
    <x:row r="52">
      <x:c r="A52" t="s">
        <x:v>129</x:v>
      </x:c>
      <x:c r="B52" t="s">
        <x:v>8</x:v>
      </x:c>
      <x:c r="C52" t="s">
        <x:v>14</x:v>
      </x:c>
      <x:c r="D52" t="s">
        <x:v>47</x:v>
      </x:c>
      <x:c r="E52">
        <x:v>16</x:v>
      </x:c>
      <x:c r="F52" s="3" t="e">
        <x:f>E52/全局统计!$B$4</x:f>
        <x:v>#NAME?</x:v>
      </x:c>
      <x:c r="G52" s="3">
        <x:f t="shared" si="0"/>
        <x:v>0.00680561463207146</x:v>
      </x:c>
      <x:c r="H52">
        <x:v>13</x:v>
      </x:c>
      <x:c r="I52">
        <x:v>1</x:v>
      </x:c>
      <x:c r="J52">
        <x:v>2</x:v>
      </x:c>
      <x:c r="K52" s="3">
        <x:f t="shared" si="1"/>
        <x:v>0.8125</x:v>
      </x:c>
      <x:c r="L52" s="3">
        <x:f t="shared" si="2"/>
        <x:v>0.125</x:v>
      </x:c>
      <x:c r="M52" t="s">
        <x:v>130</x:v>
      </x:c>
    </x:row>
    <x:row r="53">
      <x:c r="A53" t="s">
        <x:v>129</x:v>
      </x:c>
      <x:c r="B53" t="s">
        <x:v>8</x:v>
      </x:c>
      <x:c r="C53" t="s">
        <x:v>17</x:v>
      </x:c>
      <x:c r="D53" t="s">
        <x:v>56</x:v>
      </x:c>
      <x:c r="E53">
        <x:v>16</x:v>
      </x:c>
      <x:c r="F53" s="3" t="e">
        <x:f>E53/全局统计!$B$4</x:f>
        <x:v>#NAME?</x:v>
      </x:c>
      <x:c r="G53" s="3">
        <x:f t="shared" si="0"/>
        <x:v>0.00680561463207146</x:v>
      </x:c>
      <x:c r="H53">
        <x:v>10</x:v>
      </x:c>
      <x:c r="I53">
        <x:v>6</x:v>
      </x:c>
      <x:c r="J53">
        <x:v>0</x:v>
      </x:c>
      <x:c r="K53" s="3">
        <x:f t="shared" si="1"/>
        <x:v>0.625</x:v>
      </x:c>
      <x:c r="L53" s="3">
        <x:f t="shared" si="2"/>
        <x:v>0</x:v>
      </x:c>
      <x:c r="M53" t="s">
        <x:v>130</x:v>
      </x:c>
    </x:row>
    <x:row r="54">
      <x:c r="A54" t="s">
        <x:v>129</x:v>
      </x:c>
      <x:c r="B54" t="s">
        <x:v>8</x:v>
      </x:c>
      <x:c r="C54" t="s">
        <x:v>55</x:v>
      </x:c>
      <x:c r="D54" t="s">
        <x:v>51</x:v>
      </x:c>
      <x:c r="E54">
        <x:v>16</x:v>
      </x:c>
      <x:c r="F54" s="3" t="e">
        <x:f>E54/全局统计!$B$4</x:f>
        <x:v>#NAME?</x:v>
      </x:c>
      <x:c r="G54" s="3">
        <x:f t="shared" si="0"/>
        <x:v>0.00680561463207146</x:v>
      </x:c>
      <x:c r="H54">
        <x:v>14</x:v>
      </x:c>
      <x:c r="I54">
        <x:v>2</x:v>
      </x:c>
      <x:c r="J54">
        <x:v>0</x:v>
      </x:c>
      <x:c r="K54" s="3">
        <x:f t="shared" si="1"/>
        <x:v>0.875</x:v>
      </x:c>
      <x:c r="L54" s="3">
        <x:f t="shared" si="2"/>
        <x:v>0</x:v>
      </x:c>
      <x:c r="M54" t="s">
        <x:v>130</x:v>
      </x:c>
    </x:row>
    <x:row r="55">
      <x:c r="A55" t="s">
        <x:v>129</x:v>
      </x:c>
      <x:c r="B55" t="s">
        <x:v>21</x:v>
      </x:c>
      <x:c r="C55" t="s">
        <x:v>24</x:v>
      </x:c>
      <x:c r="D55" t="s">
        <x:v>51</x:v>
      </x:c>
      <x:c r="E55">
        <x:v>15</x:v>
      </x:c>
      <x:c r="F55" s="3" t="e">
        <x:f>E55/全局统计!$B$4</x:f>
        <x:v>#NAME?</x:v>
      </x:c>
      <x:c r="G55" s="3">
        <x:f t="shared" si="0"/>
        <x:v>0.00638026371756699</x:v>
      </x:c>
      <x:c r="H55">
        <x:v>10</x:v>
      </x:c>
      <x:c r="I55">
        <x:v>5</x:v>
      </x:c>
      <x:c r="J55">
        <x:v>0</x:v>
      </x:c>
      <x:c r="K55" s="3">
        <x:f t="shared" si="1"/>
        <x:v>0.666666666666667</x:v>
      </x:c>
      <x:c r="L55" s="3">
        <x:f t="shared" si="2"/>
        <x:v>0</x:v>
      </x:c>
      <x:c r="M55" t="s">
        <x:v>130</x:v>
      </x:c>
    </x:row>
    <x:row r="56">
      <x:c r="A56" t="s">
        <x:v>129</x:v>
      </x:c>
      <x:c r="B56" t="s">
        <x:v>21</x:v>
      </x:c>
      <x:c r="C56" t="s">
        <x:v>24</x:v>
      </x:c>
      <x:c r="D56" t="s">
        <x:v>47</x:v>
      </x:c>
      <x:c r="E56">
        <x:v>15</x:v>
      </x:c>
      <x:c r="F56" s="3" t="e">
        <x:f>E56/全局统计!$B$4</x:f>
        <x:v>#NAME?</x:v>
      </x:c>
      <x:c r="G56" s="3">
        <x:f t="shared" si="0"/>
        <x:v>0.00638026371756699</x:v>
      </x:c>
      <x:c r="H56">
        <x:v>14</x:v>
      </x:c>
      <x:c r="I56">
        <x:v>1</x:v>
      </x:c>
      <x:c r="J56">
        <x:v>0</x:v>
      </x:c>
      <x:c r="K56" s="3">
        <x:f t="shared" si="1"/>
        <x:v>0.933333333333333</x:v>
      </x:c>
      <x:c r="L56" s="3">
        <x:f t="shared" si="2"/>
        <x:v>0</x:v>
      </x:c>
      <x:c r="M56" t="s">
        <x:v>130</x:v>
      </x:c>
    </x:row>
    <x:row r="57">
      <x:c r="A57" t="s">
        <x:v>129</x:v>
      </x:c>
      <x:c r="B57" t="s">
        <x:v>8</x:v>
      </x:c>
      <x:c r="C57" t="s">
        <x:v>55</x:v>
      </x:c>
      <x:c r="D57" t="s">
        <x:v>47</x:v>
      </x:c>
      <x:c r="E57">
        <x:v>15</x:v>
      </x:c>
      <x:c r="F57" s="3" t="e">
        <x:f>E57/全局统计!$B$4</x:f>
        <x:v>#NAME?</x:v>
      </x:c>
      <x:c r="G57" s="3">
        <x:f t="shared" si="0"/>
        <x:v>0.00638026371756699</x:v>
      </x:c>
      <x:c r="H57">
        <x:v>10</x:v>
      </x:c>
      <x:c r="I57">
        <x:v>4</x:v>
      </x:c>
      <x:c r="J57">
        <x:v>1</x:v>
      </x:c>
      <x:c r="K57" s="3">
        <x:f t="shared" si="1"/>
        <x:v>0.666666666666667</x:v>
      </x:c>
      <x:c r="L57" s="3">
        <x:f t="shared" si="2"/>
        <x:v>0.0666666666666667</x:v>
      </x:c>
      <x:c r="M57" t="s">
        <x:v>130</x:v>
      </x:c>
    </x:row>
    <x:row r="58">
      <x:c r="A58" t="s">
        <x:v>121</x:v>
      </x:c>
      <x:c r="B58" t="s">
        <x:v>28</x:v>
      </x:c>
      <x:c r="C58" t="s">
        <x:v>27</x:v>
      </x:c>
      <x:c r="D58" t="s">
        <x:v>47</x:v>
      </x:c>
      <x:c r="E58">
        <x:v>15</x:v>
      </x:c>
      <x:c r="F58" s="3" t="e">
        <x:f>E58/全局统计!$B$4</x:f>
        <x:v>#NAME?</x:v>
      </x:c>
      <x:c r="G58" s="3">
        <x:f t="shared" si="0"/>
        <x:v>0.0137236962488564</x:v>
      </x:c>
      <x:c r="H58">
        <x:v>13</x:v>
      </x:c>
      <x:c r="I58">
        <x:v>2</x:v>
      </x:c>
      <x:c r="J58">
        <x:v>0</x:v>
      </x:c>
      <x:c r="K58" s="3">
        <x:f t="shared" si="1"/>
        <x:v>0.866666666666667</x:v>
      </x:c>
      <x:c r="L58" s="3">
        <x:f t="shared" si="2"/>
        <x:v>0</x:v>
      </x:c>
      <x:c r="M58" t="s">
        <x:v>130</x:v>
      </x:c>
    </x:row>
    <x:row r="59">
      <x:c r="A59" t="s">
        <x:v>121</x:v>
      </x:c>
      <x:c r="B59" t="s">
        <x:v>8</x:v>
      </x:c>
      <x:c r="C59" t="s">
        <x:v>55</x:v>
      </x:c>
      <x:c r="D59" t="s">
        <x:v>51</x:v>
      </x:c>
      <x:c r="E59">
        <x:v>15</x:v>
      </x:c>
      <x:c r="F59" s="3" t="e">
        <x:f>E59/全局统计!$B$4</x:f>
        <x:v>#NAME?</x:v>
      </x:c>
      <x:c r="G59" s="3">
        <x:f t="shared" si="0"/>
        <x:v>0.0137236962488564</x:v>
      </x:c>
      <x:c r="H59">
        <x:v>12</x:v>
      </x:c>
      <x:c r="I59">
        <x:v>3</x:v>
      </x:c>
      <x:c r="J59">
        <x:v>0</x:v>
      </x:c>
      <x:c r="K59" s="3">
        <x:f t="shared" si="1"/>
        <x:v>0.8</x:v>
      </x:c>
      <x:c r="L59" s="3">
        <x:f t="shared" si="2"/>
        <x:v>0</x:v>
      </x:c>
      <x:c r="M59" t="s">
        <x:v>130</x:v>
      </x:c>
    </x:row>
    <x:row r="60">
      <x:c r="A60" t="s">
        <x:v>129</x:v>
      </x:c>
      <x:c r="B60" t="s">
        <x:v>28</x:v>
      </x:c>
      <x:c r="C60" t="s">
        <x:v>27</x:v>
      </x:c>
      <x:c r="D60" t="s">
        <x:v>47</x:v>
      </x:c>
      <x:c r="E60">
        <x:v>14</x:v>
      </x:c>
      <x:c r="F60" s="3" t="e">
        <x:f>E60/全局统计!$B$4</x:f>
        <x:v>#NAME?</x:v>
      </x:c>
      <x:c r="G60" s="3">
        <x:f t="shared" si="0"/>
        <x:v>0.00595491280306253</x:v>
      </x:c>
      <x:c r="H60">
        <x:v>11</x:v>
      </x:c>
      <x:c r="I60">
        <x:v>3</x:v>
      </x:c>
      <x:c r="J60">
        <x:v>0</x:v>
      </x:c>
      <x:c r="K60" s="3">
        <x:f t="shared" si="1"/>
        <x:v>0.785714285714286</x:v>
      </x:c>
      <x:c r="L60" s="3">
        <x:f t="shared" si="2"/>
        <x:v>0</x:v>
      </x:c>
      <x:c r="M60" t="s">
        <x:v>130</x:v>
      </x:c>
    </x:row>
    <x:row r="61">
      <x:c r="A61" t="s">
        <x:v>129</x:v>
      </x:c>
      <x:c r="B61" t="s">
        <x:v>8</x:v>
      </x:c>
      <x:c r="C61" t="s">
        <x:v>7</x:v>
      </x:c>
      <x:c r="D61" t="s">
        <x:v>111</x:v>
      </x:c>
      <x:c r="E61">
        <x:v>14</x:v>
      </x:c>
      <x:c r="F61" s="3" t="e">
        <x:f>E61/全局统计!$B$4</x:f>
        <x:v>#NAME?</x:v>
      </x:c>
      <x:c r="G61" s="3">
        <x:f t="shared" si="0"/>
        <x:v>0.00595491280306253</x:v>
      </x:c>
      <x:c r="H61">
        <x:v>12</x:v>
      </x:c>
      <x:c r="I61">
        <x:v>2</x:v>
      </x:c>
      <x:c r="J61">
        <x:v>0</x:v>
      </x:c>
      <x:c r="K61" s="3">
        <x:f t="shared" si="1"/>
        <x:v>0.857142857142857</x:v>
      </x:c>
      <x:c r="L61" s="3">
        <x:f t="shared" si="2"/>
        <x:v>0</x:v>
      </x:c>
      <x:c r="M61" t="s">
        <x:v>130</x:v>
      </x:c>
    </x:row>
    <x:row r="62">
      <x:c r="A62" t="s">
        <x:v>123</x:v>
      </x:c>
      <x:c r="B62" t="s">
        <x:v>28</x:v>
      </x:c>
      <x:c r="C62" t="s">
        <x:v>27</x:v>
      </x:c>
      <x:c r="D62" t="s">
        <x:v>64</x:v>
      </x:c>
      <x:c r="E62">
        <x:v>14</x:v>
      </x:c>
      <x:c r="F62" s="3" t="e">
        <x:f>E62/全局统计!$B$4</x:f>
        <x:v>#NAME?</x:v>
      </x:c>
      <x:c r="G62" s="3">
        <x:f t="shared" si="0"/>
        <x:v>0.0323325635103926</x:v>
      </x:c>
      <x:c r="H62">
        <x:v>9</x:v>
      </x:c>
      <x:c r="I62">
        <x:v>5</x:v>
      </x:c>
      <x:c r="J62">
        <x:v>0</x:v>
      </x:c>
      <x:c r="K62" s="3">
        <x:f t="shared" si="1"/>
        <x:v>0.642857142857143</x:v>
      </x:c>
      <x:c r="L62" s="3">
        <x:f t="shared" si="2"/>
        <x:v>0</x:v>
      </x:c>
      <x:c r="M62" t="s">
        <x:v>130</x:v>
      </x:c>
    </x:row>
    <x:row r="63">
      <x:c r="A63" t="s">
        <x:v>123</x:v>
      </x:c>
      <x:c r="B63" t="s">
        <x:v>8</x:v>
      </x:c>
      <x:c r="C63" t="s">
        <x:v>7</x:v>
      </x:c>
      <x:c r="D63" t="s">
        <x:v>111</x:v>
      </x:c>
      <x:c r="E63">
        <x:v>14</x:v>
      </x:c>
      <x:c r="F63" s="3" t="e">
        <x:f>E63/全局统计!$B$4</x:f>
        <x:v>#NAME?</x:v>
      </x:c>
      <x:c r="G63" s="3">
        <x:f t="shared" si="0"/>
        <x:v>0.0323325635103926</x:v>
      </x:c>
      <x:c r="H63">
        <x:v>11</x:v>
      </x:c>
      <x:c r="I63">
        <x:v>3</x:v>
      </x:c>
      <x:c r="J63">
        <x:v>0</x:v>
      </x:c>
      <x:c r="K63" s="3">
        <x:f t="shared" si="1"/>
        <x:v>0.785714285714286</x:v>
      </x:c>
      <x:c r="L63" s="3">
        <x:f t="shared" si="2"/>
        <x:v>0</x:v>
      </x:c>
      <x:c r="M63" t="s">
        <x:v>130</x:v>
      </x:c>
    </x:row>
    <x:row r="64">
      <x:c r="A64" t="s">
        <x:v>122</x:v>
      </x:c>
      <x:c r="B64" t="s">
        <x:v>28</x:v>
      </x:c>
      <x:c r="C64" t="s">
        <x:v>27</x:v>
      </x:c>
      <x:c r="D64" t="s">
        <x:v>47</x:v>
      </x:c>
      <x:c r="E64">
        <x:v>13</x:v>
      </x:c>
      <x:c r="F64" s="3" t="e">
        <x:f>E64/全局统计!$B$4</x:f>
        <x:v>#NAME?</x:v>
      </x:c>
      <x:c r="G64" s="3">
        <x:f t="shared" si="0"/>
        <x:v>0.0459363957597173</x:v>
      </x:c>
      <x:c r="H64">
        <x:v>10</x:v>
      </x:c>
      <x:c r="I64">
        <x:v>3</x:v>
      </x:c>
      <x:c r="J64">
        <x:v>0</x:v>
      </x:c>
      <x:c r="K64" s="3">
        <x:f t="shared" si="1"/>
        <x:v>0.769230769230769</x:v>
      </x:c>
      <x:c r="L64" s="3">
        <x:f t="shared" si="2"/>
        <x:v>0</x:v>
      </x:c>
      <x:c r="M64" t="s">
        <x:v>130</x:v>
      </x:c>
    </x:row>
    <x:row r="65">
      <x:c r="A65" t="s">
        <x:v>120</x:v>
      </x:c>
      <x:c r="B65" t="s">
        <x:v>8</x:v>
      </x:c>
      <x:c r="C65" t="s">
        <x:v>7</x:v>
      </x:c>
      <x:c r="D65" t="s">
        <x:v>51</x:v>
      </x:c>
      <x:c r="E65">
        <x:v>12</x:v>
      </x:c>
      <x:c r="F65" s="3" t="e">
        <x:f>E65/全局统计!$B$4</x:f>
        <x:v>#NAME?</x:v>
      </x:c>
      <x:c r="G65" s="3">
        <x:f t="shared" si="0"/>
        <x:v>0.0384615384615385</x:v>
      </x:c>
      <x:c r="H65">
        <x:v>6</x:v>
      </x:c>
      <x:c r="I65">
        <x:v>6</x:v>
      </x:c>
      <x:c r="J65">
        <x:v>0</x:v>
      </x:c>
      <x:c r="K65" s="3">
        <x:f t="shared" si="1"/>
        <x:v>0.5</x:v>
      </x:c>
      <x:c r="L65" s="3">
        <x:f t="shared" si="2"/>
        <x:v>0</x:v>
      </x:c>
      <x:c r="M65" t="s">
        <x:v>130</x:v>
      </x:c>
    </x:row>
    <x:row r="66">
      <x:c r="A66" t="s">
        <x:v>129</x:v>
      </x:c>
      <x:c r="B66" t="s">
        <x:v>8</x:v>
      </x:c>
      <x:c r="C66" t="s">
        <x:v>55</x:v>
      </x:c>
      <x:c r="D66" t="s">
        <x:v>64</x:v>
      </x:c>
      <x:c r="E66">
        <x:v>12</x:v>
      </x:c>
      <x:c r="F66" s="3" t="e">
        <x:f>E66/全局统计!$B$4</x:f>
        <x:v>#NAME?</x:v>
      </x:c>
      <x:c r="G66" s="3">
        <x:f t="shared" si="0"/>
        <x:v>0.00510421097405359</x:v>
      </x:c>
      <x:c r="H66">
        <x:v>5</x:v>
      </x:c>
      <x:c r="I66">
        <x:v>7</x:v>
      </x:c>
      <x:c r="J66">
        <x:v>0</x:v>
      </x:c>
      <x:c r="K66" s="3">
        <x:f t="shared" si="1"/>
        <x:v>0.416666666666667</x:v>
      </x:c>
      <x:c r="L66" s="3">
        <x:f t="shared" si="2"/>
        <x:v>0</x:v>
      </x:c>
      <x:c r="M66" t="s">
        <x:v>131</x:v>
      </x:c>
    </x:row>
    <x:row r="67">
      <x:c r="A67" t="s">
        <x:v>122</x:v>
      </x:c>
      <x:c r="B67" t="s">
        <x:v>8</x:v>
      </x:c>
      <x:c r="C67" t="s">
        <x:v>7</x:v>
      </x:c>
      <x:c r="D67" t="s">
        <x:v>51</x:v>
      </x:c>
      <x:c r="E67">
        <x:v>12</x:v>
      </x:c>
      <x:c r="F67" s="3" t="e">
        <x:f>E67/全局统计!$B$4</x:f>
        <x:v>#NAME?</x:v>
      </x:c>
      <x:c r="G67" s="3">
        <x:f t="shared" si="0"/>
        <x:v>0.0424028268551237</x:v>
      </x:c>
      <x:c r="H67">
        <x:v>7</x:v>
      </x:c>
      <x:c r="I67">
        <x:v>5</x:v>
      </x:c>
      <x:c r="J67">
        <x:v>0</x:v>
      </x:c>
      <x:c r="K67" s="3">
        <x:f t="shared" si="1"/>
        <x:v>0.583333333333333</x:v>
      </x:c>
      <x:c r="L67" s="3">
        <x:f t="shared" si="2"/>
        <x:v>0</x:v>
      </x:c>
      <x:c r="M67" t="s">
        <x:v>130</x:v>
      </x:c>
    </x:row>
    <x:row r="68">
      <x:c r="A68" t="s">
        <x:v>123</x:v>
      </x:c>
      <x:c r="B68" t="s">
        <x:v>8</x:v>
      </x:c>
      <x:c r="C68" t="s">
        <x:v>14</x:v>
      </x:c>
      <x:c r="D68" t="s">
        <x:v>56</x:v>
      </x:c>
      <x:c r="E68">
        <x:v>12</x:v>
      </x:c>
      <x:c r="F68" s="3" t="e">
        <x:f>E68/全局统计!$B$4</x:f>
        <x:v>#NAME?</x:v>
      </x:c>
      <x:c r="G68" s="3" t="n">
        <x:f t="shared" ref="G68:G131" si="3">E68/SUMIFS($E:$E,$A:$A,$A68)</x:f>
        <x:v>0.02771362586605081</x:v>
      </x:c>
      <x:c r="H68">
        <x:v>5</x:v>
      </x:c>
      <x:c r="I68">
        <x:v>6</x:v>
      </x:c>
      <x:c r="J68">
        <x:v>1</x:v>
      </x:c>
      <x:c r="K68" s="3" t="n">
        <x:f t="shared" ref="K68:K131" si="4">H68/E68</x:f>
        <x:v>0.4166666666666667</x:v>
      </x:c>
      <x:c r="L68" s="3" t="n">
        <x:f t="shared" ref="L68:L131" si="5">J68/E68</x:f>
        <x:v>0.08333333333333333</x:v>
      </x:c>
      <x:c r="M68" t="s">
        <x:v>131</x:v>
      </x:c>
    </x:row>
    <x:row r="69">
      <x:c r="A69" t="s">
        <x:v>129</x:v>
      </x:c>
      <x:c r="B69" t="s">
        <x:v>28</x:v>
      </x:c>
      <x:c r="C69" t="s">
        <x:v>27</x:v>
      </x:c>
      <x:c r="D69" t="s">
        <x:v>64</x:v>
      </x:c>
      <x:c r="E69">
        <x:v>11</x:v>
      </x:c>
      <x:c r="F69" s="3" t="e">
        <x:f>E69/全局统计!$B$4</x:f>
        <x:v>#NAME?</x:v>
      </x:c>
      <x:c r="G69" s="3">
        <x:f t="shared" si="3"/>
        <x:v>0.00467886005954913</x:v>
      </x:c>
      <x:c r="H69">
        <x:v>5</x:v>
      </x:c>
      <x:c r="I69">
        <x:v>5</x:v>
      </x:c>
      <x:c r="J69">
        <x:v>1</x:v>
      </x:c>
      <x:c r="K69" s="3">
        <x:f t="shared" si="4"/>
        <x:v>0.454545454545455</x:v>
      </x:c>
      <x:c r="L69" s="3">
        <x:f t="shared" si="5"/>
        <x:v>0.0909090909090909</x:v>
      </x:c>
      <x:c r="M69" t="s">
        <x:v>130</x:v>
      </x:c>
    </x:row>
    <x:row r="70">
      <x:c r="A70" t="s">
        <x:v>129</x:v>
      </x:c>
      <x:c r="B70" t="s">
        <x:v>21</x:v>
      </x:c>
      <x:c r="C70" t="s">
        <x:v>20</x:v>
      </x:c>
      <x:c r="D70" t="s">
        <x:v>51</x:v>
      </x:c>
      <x:c r="E70">
        <x:v>11</x:v>
      </x:c>
      <x:c r="F70" s="3" t="e">
        <x:f>E70/全局统计!$B$4</x:f>
        <x:v>#NAME?</x:v>
      </x:c>
      <x:c r="G70" s="3">
        <x:f t="shared" si="3"/>
        <x:v>0.00467886005954913</x:v>
      </x:c>
      <x:c r="H70">
        <x:v>4</x:v>
      </x:c>
      <x:c r="I70">
        <x:v>7</x:v>
      </x:c>
      <x:c r="J70">
        <x:v>0</x:v>
      </x:c>
      <x:c r="K70" s="3">
        <x:f t="shared" si="4"/>
        <x:v>0.363636363636364</x:v>
      </x:c>
      <x:c r="L70" s="3">
        <x:f t="shared" si="5"/>
        <x:v>0</x:v>
      </x:c>
      <x:c r="M70" t="s">
        <x:v>131</x:v>
      </x:c>
    </x:row>
    <x:row r="71">
      <x:c r="A71" t="s">
        <x:v>129</x:v>
      </x:c>
      <x:c r="B71" t="s">
        <x:v>8</x:v>
      </x:c>
      <x:c r="C71" t="s">
        <x:v>17</x:v>
      </x:c>
      <x:c r="D71" t="s">
        <x:v>47</x:v>
      </x:c>
      <x:c r="E71">
        <x:v>11</x:v>
      </x:c>
      <x:c r="F71" s="3" t="e">
        <x:f>E71/全局统计!$B$4</x:f>
        <x:v>#NAME?</x:v>
      </x:c>
      <x:c r="G71" s="3">
        <x:f t="shared" si="3"/>
        <x:v>0.00467886005954913</x:v>
      </x:c>
      <x:c r="H71">
        <x:v>10</x:v>
      </x:c>
      <x:c r="I71">
        <x:v>0</x:v>
      </x:c>
      <x:c r="J71">
        <x:v>1</x:v>
      </x:c>
      <x:c r="K71" s="3">
        <x:f t="shared" si="4"/>
        <x:v>0.909090909090909</x:v>
      </x:c>
      <x:c r="L71" s="3">
        <x:f t="shared" si="5"/>
        <x:v>0.0909090909090909</x:v>
      </x:c>
      <x:c r="M71" t="s">
        <x:v>130</x:v>
      </x:c>
    </x:row>
    <x:row r="72">
      <x:c r="A72" t="s">
        <x:v>121</x:v>
      </x:c>
      <x:c r="B72" t="s">
        <x:v>28</x:v>
      </x:c>
      <x:c r="C72" t="s">
        <x:v>27</x:v>
      </x:c>
      <x:c r="D72" t="s">
        <x:v>56</x:v>
      </x:c>
      <x:c r="E72">
        <x:v>11</x:v>
      </x:c>
      <x:c r="F72" s="3" t="e">
        <x:f>E72/全局统计!$B$4</x:f>
        <x:v>#NAME?</x:v>
      </x:c>
      <x:c r="G72" s="3">
        <x:f t="shared" si="3"/>
        <x:v>0.010064043915828</x:v>
      </x:c>
      <x:c r="H72">
        <x:v>4</x:v>
      </x:c>
      <x:c r="I72">
        <x:v>7</x:v>
      </x:c>
      <x:c r="J72">
        <x:v>0</x:v>
      </x:c>
      <x:c r="K72" s="3">
        <x:f t="shared" si="4"/>
        <x:v>0.363636363636364</x:v>
      </x:c>
      <x:c r="L72" s="3">
        <x:f t="shared" si="5"/>
        <x:v>0</x:v>
      </x:c>
      <x:c r="M72" t="s">
        <x:v>131</x:v>
      </x:c>
    </x:row>
    <x:row r="73">
      <x:c r="A73" t="s">
        <x:v>121</x:v>
      </x:c>
      <x:c r="B73" t="s">
        <x:v>8</x:v>
      </x:c>
      <x:c r="C73" t="s">
        <x:v>14</x:v>
      </x:c>
      <x:c r="D73" t="s">
        <x:v>47</x:v>
      </x:c>
      <x:c r="E73">
        <x:v>11</x:v>
      </x:c>
      <x:c r="F73" s="3" t="e">
        <x:f>E73/全局统计!$B$4</x:f>
        <x:v>#NAME?</x:v>
      </x:c>
      <x:c r="G73" s="3">
        <x:f t="shared" si="3"/>
        <x:v>0.010064043915828</x:v>
      </x:c>
      <x:c r="H73">
        <x:v>4</x:v>
      </x:c>
      <x:c r="I73">
        <x:v>2</x:v>
      </x:c>
      <x:c r="J73">
        <x:v>5</x:v>
      </x:c>
      <x:c r="K73" s="3">
        <x:f t="shared" si="4"/>
        <x:v>0.363636363636364</x:v>
      </x:c>
      <x:c r="L73" s="3">
        <x:f t="shared" si="5"/>
        <x:v>0.454545454545455</x:v>
      </x:c>
      <x:c r="M73" t="s">
        <x:v>133</x:v>
      </x:c>
    </x:row>
    <x:row r="74">
      <x:c r="A74" t="s">
        <x:v>121</x:v>
      </x:c>
      <x:c r="B74" t="s">
        <x:v>8</x:v>
      </x:c>
      <x:c r="C74" t="s">
        <x:v>17</x:v>
      </x:c>
      <x:c r="D74" t="s">
        <x:v>56</x:v>
      </x:c>
      <x:c r="E74">
        <x:v>11</x:v>
      </x:c>
      <x:c r="F74" s="3" t="e">
        <x:f>E74/全局统计!$B$4</x:f>
        <x:v>#NAME?</x:v>
      </x:c>
      <x:c r="G74" s="3">
        <x:f t="shared" si="3"/>
        <x:v>0.010064043915828</x:v>
      </x:c>
      <x:c r="H74">
        <x:v>8</x:v>
      </x:c>
      <x:c r="I74">
        <x:v>3</x:v>
      </x:c>
      <x:c r="J74">
        <x:v>0</x:v>
      </x:c>
      <x:c r="K74" s="3">
        <x:f t="shared" si="4"/>
        <x:v>0.727272727272727</x:v>
      </x:c>
      <x:c r="L74" s="3">
        <x:f t="shared" si="5"/>
        <x:v>0</x:v>
      </x:c>
      <x:c r="M74" t="s">
        <x:v>130</x:v>
      </x:c>
    </x:row>
    <x:row r="75">
      <x:c r="A75" t="s">
        <x:v>121</x:v>
      </x:c>
      <x:c r="B75" t="s">
        <x:v>8</x:v>
      </x:c>
      <x:c r="C75" t="s">
        <x:v>17</x:v>
      </x:c>
      <x:c r="D75" t="s">
        <x:v>47</x:v>
      </x:c>
      <x:c r="E75">
        <x:v>11</x:v>
      </x:c>
      <x:c r="F75" s="3" t="e">
        <x:f>E75/全局统计!$B$4</x:f>
        <x:v>#NAME?</x:v>
      </x:c>
      <x:c r="G75" s="3">
        <x:f t="shared" si="3"/>
        <x:v>0.010064043915828</x:v>
      </x:c>
      <x:c r="H75">
        <x:v>9</x:v>
      </x:c>
      <x:c r="I75">
        <x:v>2</x:v>
      </x:c>
      <x:c r="J75">
        <x:v>0</x:v>
      </x:c>
      <x:c r="K75" s="3">
        <x:f t="shared" si="4"/>
        <x:v>0.818181818181818</x:v>
      </x:c>
      <x:c r="L75" s="3">
        <x:f t="shared" si="5"/>
        <x:v>0</x:v>
      </x:c>
      <x:c r="M75" t="s">
        <x:v>130</x:v>
      </x:c>
    </x:row>
    <x:row r="76">
      <x:c r="A76" t="s">
        <x:v>122</x:v>
      </x:c>
      <x:c r="B76" t="s">
        <x:v>28</x:v>
      </x:c>
      <x:c r="C76" t="s">
        <x:v>27</x:v>
      </x:c>
      <x:c r="D76" t="s">
        <x:v>64</x:v>
      </x:c>
      <x:c r="E76">
        <x:v>11</x:v>
      </x:c>
      <x:c r="F76" s="3" t="e">
        <x:f>E76/全局统计!$B$4</x:f>
        <x:v>#NAME?</x:v>
      </x:c>
      <x:c r="G76" s="3">
        <x:f t="shared" si="3"/>
        <x:v>0.03886925795053</x:v>
      </x:c>
      <x:c r="H76">
        <x:v>6</x:v>
      </x:c>
      <x:c r="I76">
        <x:v>5</x:v>
      </x:c>
      <x:c r="J76">
        <x:v>0</x:v>
      </x:c>
      <x:c r="K76" s="3">
        <x:f t="shared" si="4"/>
        <x:v>0.545454545454545</x:v>
      </x:c>
      <x:c r="L76" s="3">
        <x:f t="shared" si="5"/>
        <x:v>0</x:v>
      </x:c>
      <x:c r="M76" t="s">
        <x:v>130</x:v>
      </x:c>
    </x:row>
    <x:row r="77">
      <x:c r="A77" t="s">
        <x:v>123</x:v>
      </x:c>
      <x:c r="B77" t="s">
        <x:v>8</x:v>
      </x:c>
      <x:c r="C77" t="s">
        <x:v>11</x:v>
      </x:c>
      <x:c r="D77" t="s">
        <x:v>47</x:v>
      </x:c>
      <x:c r="E77">
        <x:v>11</x:v>
      </x:c>
      <x:c r="F77" s="3" t="e">
        <x:f>E77/全局统计!$B$4</x:f>
        <x:v>#NAME?</x:v>
      </x:c>
      <x:c r="G77" s="3">
        <x:f t="shared" si="3"/>
        <x:v>0.0254041570438799</x:v>
      </x:c>
      <x:c r="H77">
        <x:v>4</x:v>
      </x:c>
      <x:c r="I77">
        <x:v>6</x:v>
      </x:c>
      <x:c r="J77">
        <x:v>1</x:v>
      </x:c>
      <x:c r="K77" s="3">
        <x:f t="shared" si="4"/>
        <x:v>0.363636363636364</x:v>
      </x:c>
      <x:c r="L77" s="3">
        <x:f t="shared" si="5"/>
        <x:v>0.0909090909090909</x:v>
      </x:c>
      <x:c r="M77" t="s">
        <x:v>131</x:v>
      </x:c>
    </x:row>
    <x:row r="78">
      <x:c r="A78" t="s">
        <x:v>120</x:v>
      </x:c>
      <x:c r="B78" t="s">
        <x:v>8</x:v>
      </x:c>
      <x:c r="C78" t="s">
        <x:v>68</x:v>
      </x:c>
      <x:c r="D78" t="s">
        <x:v>56</x:v>
      </x:c>
      <x:c r="E78">
        <x:v>10</x:v>
      </x:c>
      <x:c r="F78" s="3" t="e">
        <x:f>E78/全局统计!$B$4</x:f>
        <x:v>#NAME?</x:v>
      </x:c>
      <x:c r="G78" s="3">
        <x:f t="shared" si="3"/>
        <x:v>0.032051282051282</x:v>
      </x:c>
      <x:c r="H78">
        <x:v>3</x:v>
      </x:c>
      <x:c r="I78">
        <x:v>7</x:v>
      </x:c>
      <x:c r="J78">
        <x:v>0</x:v>
      </x:c>
      <x:c r="K78" s="3">
        <x:f t="shared" si="4"/>
        <x:v>0.3</x:v>
      </x:c>
      <x:c r="L78" s="3">
        <x:f t="shared" si="5"/>
        <x:v>0</x:v>
      </x:c>
      <x:c r="M78" t="s">
        <x:v>131</x:v>
      </x:c>
    </x:row>
    <x:row r="79">
      <x:c r="A79" t="s">
        <x:v>129</x:v>
      </x:c>
      <x:c r="B79" t="s">
        <x:v>8</x:v>
      </x:c>
      <x:c r="C79" t="s">
        <x:v>68</x:v>
      </x:c>
      <x:c r="D79" t="s">
        <x:v>51</x:v>
      </x:c>
      <x:c r="E79">
        <x:v>10</x:v>
      </x:c>
      <x:c r="F79" s="3" t="e">
        <x:f>E79/全局统计!$B$4</x:f>
        <x:v>#NAME?</x:v>
      </x:c>
      <x:c r="G79" s="3">
        <x:f t="shared" si="3"/>
        <x:v>0.00425350914504466</x:v>
      </x:c>
      <x:c r="H79">
        <x:v>6</x:v>
      </x:c>
      <x:c r="I79">
        <x:v>4</x:v>
      </x:c>
      <x:c r="J79">
        <x:v>0</x:v>
      </x:c>
      <x:c r="K79" s="3">
        <x:f t="shared" si="4"/>
        <x:v>0.6</x:v>
      </x:c>
      <x:c r="L79" s="3">
        <x:f t="shared" si="5"/>
        <x:v>0</x:v>
      </x:c>
      <x:c r="M79" t="s">
        <x:v>130</x:v>
      </x:c>
    </x:row>
    <x:row r="80">
      <x:c r="A80" t="s">
        <x:v>129</x:v>
      </x:c>
      <x:c r="B80" t="s">
        <x:v>8</x:v>
      </x:c>
      <x:c r="C80" t="s">
        <x:v>11</x:v>
      </x:c>
      <x:c r="D80" t="s">
        <x:v>111</x:v>
      </x:c>
      <x:c r="E80">
        <x:v>10</x:v>
      </x:c>
      <x:c r="F80" s="3" t="e">
        <x:f>E80/全局统计!$B$4</x:f>
        <x:v>#NAME?</x:v>
      </x:c>
      <x:c r="G80" s="3">
        <x:f t="shared" si="3"/>
        <x:v>0.00425350914504466</x:v>
      </x:c>
      <x:c r="H80">
        <x:v>5</x:v>
      </x:c>
      <x:c r="I80">
        <x:v>5</x:v>
      </x:c>
      <x:c r="J80">
        <x:v>0</x:v>
      </x:c>
      <x:c r="K80" s="3">
        <x:f t="shared" si="4"/>
        <x:v>0.5</x:v>
      </x:c>
      <x:c r="L80" s="3">
        <x:f t="shared" si="5"/>
        <x:v>0</x:v>
      </x:c>
      <x:c r="M80" t="s">
        <x:v>130</x:v>
      </x:c>
    </x:row>
    <x:row r="81">
      <x:c r="A81" t="s">
        <x:v>121</x:v>
      </x:c>
      <x:c r="B81" t="s">
        <x:v>28</x:v>
      </x:c>
      <x:c r="C81" t="s">
        <x:v>27</x:v>
      </x:c>
      <x:c r="D81" t="s">
        <x:v>64</x:v>
      </x:c>
      <x:c r="E81">
        <x:v>10</x:v>
      </x:c>
      <x:c r="F81" s="3" t="e">
        <x:f>E81/全局统计!$B$4</x:f>
        <x:v>#NAME?</x:v>
      </x:c>
      <x:c r="G81" s="3">
        <x:f t="shared" si="3"/>
        <x:v>0.00914913083257091</x:v>
      </x:c>
      <x:c r="H81">
        <x:v>4</x:v>
      </x:c>
      <x:c r="I81">
        <x:v>6</x:v>
      </x:c>
      <x:c r="J81">
        <x:v>0</x:v>
      </x:c>
      <x:c r="K81" s="3">
        <x:f t="shared" si="4"/>
        <x:v>0.4</x:v>
      </x:c>
      <x:c r="L81" s="3">
        <x:f t="shared" si="5"/>
        <x:v>0</x:v>
      </x:c>
      <x:c r="M81" t="s">
        <x:v>131</x:v>
      </x:c>
    </x:row>
    <x:row r="82">
      <x:c r="A82" t="s">
        <x:v>122</x:v>
      </x:c>
      <x:c r="B82" t="s">
        <x:v>28</x:v>
      </x:c>
      <x:c r="C82" t="s">
        <x:v>27</x:v>
      </x:c>
      <x:c r="D82" t="s">
        <x:v>56</x:v>
      </x:c>
      <x:c r="E82">
        <x:v>10</x:v>
      </x:c>
      <x:c r="F82" s="3" t="e">
        <x:f>E82/全局统计!$B$4</x:f>
        <x:v>#NAME?</x:v>
      </x:c>
      <x:c r="G82" s="3">
        <x:f t="shared" si="3"/>
        <x:v>0.0353356890459364</x:v>
      </x:c>
      <x:c r="H82">
        <x:v>6</x:v>
      </x:c>
      <x:c r="I82">
        <x:v>3</x:v>
      </x:c>
      <x:c r="J82">
        <x:v>1</x:v>
      </x:c>
      <x:c r="K82" s="3">
        <x:f t="shared" si="4"/>
        <x:v>0.6</x:v>
      </x:c>
      <x:c r="L82" s="3">
        <x:f t="shared" si="5"/>
        <x:v>0.1</x:v>
      </x:c>
      <x:c r="M82" t="s">
        <x:v>130</x:v>
      </x:c>
    </x:row>
    <x:row r="83">
      <x:c r="A83" t="s">
        <x:v>122</x:v>
      </x:c>
      <x:c r="B83" t="s">
        <x:v>8</x:v>
      </x:c>
      <x:c r="C83" t="s">
        <x:v>55</x:v>
      </x:c>
      <x:c r="D83" t="s">
        <x:v>56</x:v>
      </x:c>
      <x:c r="E83">
        <x:v>10</x:v>
      </x:c>
      <x:c r="F83" s="3" t="e">
        <x:f>E83/全局统计!$B$4</x:f>
        <x:v>#NAME?</x:v>
      </x:c>
      <x:c r="G83" s="3">
        <x:f t="shared" si="3"/>
        <x:v>0.0353356890459364</x:v>
      </x:c>
      <x:c r="H83">
        <x:v>4</x:v>
      </x:c>
      <x:c r="I83">
        <x:v>6</x:v>
      </x:c>
      <x:c r="J83">
        <x:v>0</x:v>
      </x:c>
      <x:c r="K83" s="3">
        <x:f t="shared" si="4"/>
        <x:v>0.4</x:v>
      </x:c>
      <x:c r="L83" s="3">
        <x:f t="shared" si="5"/>
        <x:v>0</x:v>
      </x:c>
      <x:c r="M83" t="s">
        <x:v>131</x:v>
      </x:c>
    </x:row>
    <x:row r="84">
      <x:c r="A84" t="s">
        <x:v>123</x:v>
      </x:c>
      <x:c r="B84" t="s">
        <x:v>28</x:v>
      </x:c>
      <x:c r="C84" t="s">
        <x:v>27</x:v>
      </x:c>
      <x:c r="D84" t="s">
        <x:v>129</x:v>
      </x:c>
      <x:c r="E84">
        <x:v>10</x:v>
      </x:c>
      <x:c r="F84" s="3" t="e">
        <x:f>E84/全局统计!$B$4</x:f>
        <x:v>#NAME?</x:v>
      </x:c>
      <x:c r="G84" s="3">
        <x:f t="shared" si="3"/>
        <x:v>0.023094688221709</x:v>
      </x:c>
      <x:c r="H84">
        <x:v>0</x:v>
      </x:c>
      <x:c r="I84">
        <x:v>10</x:v>
      </x:c>
      <x:c r="J84">
        <x:v>0</x:v>
      </x:c>
      <x:c r="K84" s="3">
        <x:f t="shared" si="4"/>
        <x:v>0</x:v>
      </x:c>
      <x:c r="L84" s="3">
        <x:f t="shared" si="5"/>
        <x:v>0</x:v>
      </x:c>
      <x:c r="M84" t="s">
        <x:v>131</x:v>
      </x:c>
    </x:row>
    <x:row r="85">
      <x:c r="A85" t="s">
        <x:v>129</x:v>
      </x:c>
      <x:c r="B85" t="s">
        <x:v>28</x:v>
      </x:c>
      <x:c r="C85" t="s">
        <x:v>27</x:v>
      </x:c>
      <x:c r="D85" t="s">
        <x:v>129</x:v>
      </x:c>
      <x:c r="E85">
        <x:v>9</x:v>
      </x:c>
      <x:c r="F85" s="3" t="e">
        <x:f>E85/全局统计!$B$4</x:f>
        <x:v>#NAME?</x:v>
      </x:c>
      <x:c r="G85" s="3">
        <x:f t="shared" si="3"/>
        <x:v>0.0038281582305402</x:v>
      </x:c>
      <x:c r="H85">
        <x:v>0</x:v>
      </x:c>
      <x:c r="I85">
        <x:v>9</x:v>
      </x:c>
      <x:c r="J85">
        <x:v>0</x:v>
      </x:c>
      <x:c r="K85" s="3">
        <x:f t="shared" si="4"/>
        <x:v>0</x:v>
      </x:c>
      <x:c r="L85" s="3">
        <x:f t="shared" si="5"/>
        <x:v>0</x:v>
      </x:c>
      <x:c r="M85" t="s">
        <x:v>131</x:v>
      </x:c>
    </x:row>
    <x:row r="86">
      <x:c r="A86" t="s">
        <x:v>121</x:v>
      </x:c>
      <x:c r="B86" t="s">
        <x:v>8</x:v>
      </x:c>
      <x:c r="C86" t="s">
        <x:v>11</x:v>
      </x:c>
      <x:c r="D86" t="s">
        <x:v>64</x:v>
      </x:c>
      <x:c r="E86">
        <x:v>9</x:v>
      </x:c>
      <x:c r="F86" s="3" t="e">
        <x:f>E86/全局统计!$B$4</x:f>
        <x:v>#NAME?</x:v>
      </x:c>
      <x:c r="G86" s="3">
        <x:f t="shared" si="3"/>
        <x:v>0.00823421774931381</x:v>
      </x:c>
      <x:c r="H86">
        <x:v>6</x:v>
      </x:c>
      <x:c r="I86">
        <x:v>3</x:v>
      </x:c>
      <x:c r="J86">
        <x:v>0</x:v>
      </x:c>
      <x:c r="K86" s="3">
        <x:f t="shared" si="4"/>
        <x:v>0.666666666666667</x:v>
      </x:c>
      <x:c r="L86" s="3">
        <x:f t="shared" si="5"/>
        <x:v>0</x:v>
      </x:c>
      <x:c r="M86" t="s">
        <x:v>130</x:v>
      </x:c>
    </x:row>
    <x:row r="87">
      <x:c r="A87" t="s">
        <x:v>123</x:v>
      </x:c>
      <x:c r="B87" t="s">
        <x:v>8</x:v>
      </x:c>
      <x:c r="C87" t="s">
        <x:v>55</x:v>
      </x:c>
      <x:c r="D87" t="s">
        <x:v>56</x:v>
      </x:c>
      <x:c r="E87">
        <x:v>9</x:v>
      </x:c>
      <x:c r="F87" s="3" t="e">
        <x:f>E87/全局统计!$B$4</x:f>
        <x:v>#NAME?</x:v>
      </x:c>
      <x:c r="G87" s="3">
        <x:f t="shared" si="3"/>
        <x:v>0.0207852193995381</x:v>
      </x:c>
      <x:c r="H87">
        <x:v>7</x:v>
      </x:c>
      <x:c r="I87">
        <x:v>2</x:v>
      </x:c>
      <x:c r="J87">
        <x:v>0</x:v>
      </x:c>
      <x:c r="K87" s="3">
        <x:f t="shared" si="4"/>
        <x:v>0.777777777777778</x:v>
      </x:c>
      <x:c r="L87" s="3">
        <x:f t="shared" si="5"/>
        <x:v>0</x:v>
      </x:c>
      <x:c r="M87" t="s">
        <x:v>130</x:v>
      </x:c>
    </x:row>
    <x:row r="88">
      <x:c r="A88" t="s">
        <x:v>119</x:v>
      </x:c>
      <x:c r="B88" t="s">
        <x:v>28</x:v>
      </x:c>
      <x:c r="C88" t="s">
        <x:v>27</x:v>
      </x:c>
      <x:c r="D88" t="s">
        <x:v>129</x:v>
      </x:c>
      <x:c r="E88">
        <x:v>8</x:v>
      </x:c>
      <x:c r="F88" s="3" t="e">
        <x:f>E88/全局统计!$B$4</x:f>
        <x:v>#NAME?</x:v>
      </x:c>
      <x:c r="G88" s="3">
        <x:f t="shared" si="3"/>
        <x:v>0.037914691943128</x:v>
      </x:c>
      <x:c r="H88">
        <x:v>0</x:v>
      </x:c>
      <x:c r="I88">
        <x:v>8</x:v>
      </x:c>
      <x:c r="J88">
        <x:v>0</x:v>
      </x:c>
      <x:c r="K88" s="3">
        <x:f t="shared" si="4"/>
        <x:v>0</x:v>
      </x:c>
      <x:c r="L88" s="3">
        <x:f t="shared" si="5"/>
        <x:v>0</x:v>
      </x:c>
      <x:c r="M88" t="s">
        <x:v>131</x:v>
      </x:c>
    </x:row>
    <x:row r="89">
      <x:c r="A89" t="s">
        <x:v>119</x:v>
      </x:c>
      <x:c r="B89" t="s">
        <x:v>8</x:v>
      </x:c>
      <x:c r="C89" t="s">
        <x:v>11</x:v>
      </x:c>
      <x:c r="D89" t="s">
        <x:v>47</x:v>
      </x:c>
      <x:c r="E89">
        <x:v>8</x:v>
      </x:c>
      <x:c r="F89" s="3" t="e">
        <x:f>E89/全局统计!$B$4</x:f>
        <x:v>#NAME?</x:v>
      </x:c>
      <x:c r="G89" s="3">
        <x:f t="shared" si="3"/>
        <x:v>0.037914691943128</x:v>
      </x:c>
      <x:c r="H89">
        <x:v>3</x:v>
      </x:c>
      <x:c r="I89">
        <x:v>3</x:v>
      </x:c>
      <x:c r="J89">
        <x:v>2</x:v>
      </x:c>
      <x:c r="K89" s="3">
        <x:f t="shared" si="4"/>
        <x:v>0.375</x:v>
      </x:c>
      <x:c r="L89" s="3">
        <x:f t="shared" si="5"/>
        <x:v>0.25</x:v>
      </x:c>
      <x:c r="M89" t="s">
        <x:v>130</x:v>
      </x:c>
    </x:row>
    <x:row r="90">
      <x:c r="A90" t="s">
        <x:v>120</x:v>
      </x:c>
      <x:c r="B90" t="s">
        <x:v>28</x:v>
      </x:c>
      <x:c r="C90" t="s">
        <x:v>27</x:v>
      </x:c>
      <x:c r="D90" t="s">
        <x:v>129</x:v>
      </x:c>
      <x:c r="E90">
        <x:v>8</x:v>
      </x:c>
      <x:c r="F90" s="3" t="e">
        <x:f>E90/全局统计!$B$4</x:f>
        <x:v>#NAME?</x:v>
      </x:c>
      <x:c r="G90" s="3">
        <x:f t="shared" si="3"/>
        <x:v>0.0256410256410256</x:v>
      </x:c>
      <x:c r="H90">
        <x:v>0</x:v>
      </x:c>
      <x:c r="I90">
        <x:v>8</x:v>
      </x:c>
      <x:c r="J90">
        <x:v>0</x:v>
      </x:c>
      <x:c r="K90" s="3">
        <x:f t="shared" si="4"/>
        <x:v>0</x:v>
      </x:c>
      <x:c r="L90" s="3">
        <x:f t="shared" si="5"/>
        <x:v>0</x:v>
      </x:c>
      <x:c r="M90" t="s">
        <x:v>131</x:v>
      </x:c>
    </x:row>
    <x:row r="91">
      <x:c r="A91" t="s">
        <x:v>120</x:v>
      </x:c>
      <x:c r="B91" t="s">
        <x:v>8</x:v>
      </x:c>
      <x:c r="C91" t="s">
        <x:v>55</x:v>
      </x:c>
      <x:c r="D91" t="s">
        <x:v>56</x:v>
      </x:c>
      <x:c r="E91">
        <x:v>8</x:v>
      </x:c>
      <x:c r="F91" s="3" t="e">
        <x:f>E91/全局统计!$B$4</x:f>
        <x:v>#NAME?</x:v>
      </x:c>
      <x:c r="G91" s="3">
        <x:f t="shared" si="3"/>
        <x:v>0.0256410256410256</x:v>
      </x:c>
      <x:c r="H91">
        <x:v>4</x:v>
      </x:c>
      <x:c r="I91">
        <x:v>3</x:v>
      </x:c>
      <x:c r="J91">
        <x:v>1</x:v>
      </x:c>
      <x:c r="K91" s="3">
        <x:f t="shared" si="4"/>
        <x:v>0.5</x:v>
      </x:c>
      <x:c r="L91" s="3">
        <x:f t="shared" si="5"/>
        <x:v>0.125</x:v>
      </x:c>
      <x:c r="M91" t="s">
        <x:v>130</x:v>
      </x:c>
    </x:row>
    <x:row r="92">
      <x:c r="A92" t="s">
        <x:v>123</x:v>
      </x:c>
      <x:c r="B92" t="s">
        <x:v>21</x:v>
      </x:c>
      <x:c r="C92" t="s">
        <x:v>24</x:v>
      </x:c>
      <x:c r="D92" t="s">
        <x:v>56</x:v>
      </x:c>
      <x:c r="E92">
        <x:v>8</x:v>
      </x:c>
      <x:c r="F92" s="3" t="e">
        <x:f>E92/全局统计!$B$4</x:f>
        <x:v>#NAME?</x:v>
      </x:c>
      <x:c r="G92" s="3">
        <x:f t="shared" si="3"/>
        <x:v>0.0184757505773672</x:v>
      </x:c>
      <x:c r="H92">
        <x:v>1</x:v>
      </x:c>
      <x:c r="I92">
        <x:v>7</x:v>
      </x:c>
      <x:c r="J92">
        <x:v>0</x:v>
      </x:c>
      <x:c r="K92" s="3">
        <x:f t="shared" si="4"/>
        <x:v>0.125</x:v>
      </x:c>
      <x:c r="L92" s="3">
        <x:f t="shared" si="5"/>
        <x:v>0</x:v>
      </x:c>
      <x:c r="M92" t="s">
        <x:v>131</x:v>
      </x:c>
    </x:row>
    <x:row r="93">
      <x:c r="A93" t="s">
        <x:v>123</x:v>
      </x:c>
      <x:c r="B93" t="s">
        <x:v>8</x:v>
      </x:c>
      <x:c r="C93" t="s">
        <x:v>7</x:v>
      </x:c>
      <x:c r="D93" t="s">
        <x:v>56</x:v>
      </x:c>
      <x:c r="E93">
        <x:v>8</x:v>
      </x:c>
      <x:c r="F93" s="3" t="e">
        <x:f>E93/全局统计!$B$4</x:f>
        <x:v>#NAME?</x:v>
      </x:c>
      <x:c r="G93" s="3">
        <x:f t="shared" si="3"/>
        <x:v>0.0184757505773672</x:v>
      </x:c>
      <x:c r="H93">
        <x:v>3</x:v>
      </x:c>
      <x:c r="I93">
        <x:v>3</x:v>
      </x:c>
      <x:c r="J93">
        <x:v>2</x:v>
      </x:c>
      <x:c r="K93" s="3">
        <x:f t="shared" si="4"/>
        <x:v>0.375</x:v>
      </x:c>
      <x:c r="L93" s="3">
        <x:f t="shared" si="5"/>
        <x:v>0.25</x:v>
      </x:c>
      <x:c r="M93" t="s">
        <x:v>130</x:v>
      </x:c>
    </x:row>
    <x:row r="94">
      <x:c r="A94" t="s">
        <x:v>123</x:v>
      </x:c>
      <x:c r="B94" t="s">
        <x:v>8</x:v>
      </x:c>
      <x:c r="C94" t="s">
        <x:v>68</x:v>
      </x:c>
      <x:c r="D94" t="s">
        <x:v>56</x:v>
      </x:c>
      <x:c r="E94">
        <x:v>8</x:v>
      </x:c>
      <x:c r="F94" s="3" t="e">
        <x:f>E94/全局统计!$B$4</x:f>
        <x:v>#NAME?</x:v>
      </x:c>
      <x:c r="G94" s="3">
        <x:f t="shared" si="3"/>
        <x:v>0.0184757505773672</x:v>
      </x:c>
      <x:c r="H94">
        <x:v>1</x:v>
      </x:c>
      <x:c r="I94">
        <x:v>7</x:v>
      </x:c>
      <x:c r="J94">
        <x:v>0</x:v>
      </x:c>
      <x:c r="K94" s="3">
        <x:f t="shared" si="4"/>
        <x:v>0.125</x:v>
      </x:c>
      <x:c r="L94" s="3">
        <x:f t="shared" si="5"/>
        <x:v>0</x:v>
      </x:c>
      <x:c r="M94" t="s">
        <x:v>131</x:v>
      </x:c>
    </x:row>
    <x:row r="95">
      <x:c r="A95" t="s">
        <x:v>120</x:v>
      </x:c>
      <x:c r="B95" t="s">
        <x:v>28</x:v>
      </x:c>
      <x:c r="C95" t="s">
        <x:v>27</x:v>
      </x:c>
      <x:c r="D95" t="s">
        <x:v>132</x:v>
      </x:c>
      <x:c r="E95">
        <x:v>7</x:v>
      </x:c>
      <x:c r="F95" s="3" t="e">
        <x:f>E95/全局统计!$B$4</x:f>
        <x:v>#NAME?</x:v>
      </x:c>
      <x:c r="G95" s="3">
        <x:f t="shared" si="3"/>
        <x:v>0.0224358974358974</x:v>
      </x:c>
      <x:c r="H95">
        <x:v>7</x:v>
      </x:c>
      <x:c r="I95">
        <x:v>0</x:v>
      </x:c>
      <x:c r="J95">
        <x:v>0</x:v>
      </x:c>
      <x:c r="K95" s="3">
        <x:f t="shared" si="4"/>
        <x:v>1</x:v>
      </x:c>
      <x:c r="L95" s="3">
        <x:f t="shared" si="5"/>
        <x:v>0</x:v>
      </x:c>
      <x:c r="M95" t="s">
        <x:v>130</x:v>
      </x:c>
    </x:row>
    <x:row r="96">
      <x:c r="A96" t="s">
        <x:v>120</x:v>
      </x:c>
      <x:c r="B96" t="s">
        <x:v>8</x:v>
      </x:c>
      <x:c r="C96" t="s">
        <x:v>11</x:v>
      </x:c>
      <x:c r="D96" t="s">
        <x:v>132</x:v>
      </x:c>
      <x:c r="E96">
        <x:v>7</x:v>
      </x:c>
      <x:c r="F96" s="3" t="e">
        <x:f>E96/全局统计!$B$4</x:f>
        <x:v>#NAME?</x:v>
      </x:c>
      <x:c r="G96" s="3">
        <x:f t="shared" si="3"/>
        <x:v>0.0224358974358974</x:v>
      </x:c>
      <x:c r="H96">
        <x:v>6</x:v>
      </x:c>
      <x:c r="I96">
        <x:v>1</x:v>
      </x:c>
      <x:c r="J96">
        <x:v>0</x:v>
      </x:c>
      <x:c r="K96" s="3">
        <x:f t="shared" si="4"/>
        <x:v>0.857142857142857</x:v>
      </x:c>
      <x:c r="L96" s="3">
        <x:f t="shared" si="5"/>
        <x:v>0</x:v>
      </x:c>
      <x:c r="M96" t="s">
        <x:v>130</x:v>
      </x:c>
    </x:row>
    <x:row r="97">
      <x:c r="A97" t="s">
        <x:v>129</x:v>
      </x:c>
      <x:c r="B97" t="s">
        <x:v>21</x:v>
      </x:c>
      <x:c r="C97" t="s">
        <x:v>20</x:v>
      </x:c>
      <x:c r="D97" t="s">
        <x:v>111</x:v>
      </x:c>
      <x:c r="E97">
        <x:v>7</x:v>
      </x:c>
      <x:c r="F97" s="3" t="e">
        <x:f>E97/全局统计!$B$4</x:f>
        <x:v>#NAME?</x:v>
      </x:c>
      <x:c r="G97" s="3">
        <x:f t="shared" si="3"/>
        <x:v>0.00297745640153126</x:v>
      </x:c>
      <x:c r="H97">
        <x:v>1</x:v>
      </x:c>
      <x:c r="I97">
        <x:v>6</x:v>
      </x:c>
      <x:c r="J97">
        <x:v>0</x:v>
      </x:c>
      <x:c r="K97" s="3">
        <x:f t="shared" si="4"/>
        <x:v>0.142857142857143</x:v>
      </x:c>
      <x:c r="L97" s="3">
        <x:f t="shared" si="5"/>
        <x:v>0</x:v>
      </x:c>
      <x:c r="M97" t="s">
        <x:v>131</x:v>
      </x:c>
    </x:row>
    <x:row r="98">
      <x:c r="A98" t="s">
        <x:v>129</x:v>
      </x:c>
      <x:c r="B98" t="s">
        <x:v>8</x:v>
      </x:c>
      <x:c r="C98" t="s">
        <x:v>68</x:v>
      </x:c>
      <x:c r="D98" t="s">
        <x:v>47</x:v>
      </x:c>
      <x:c r="E98">
        <x:v>7</x:v>
      </x:c>
      <x:c r="F98" s="3" t="e">
        <x:f>E98/全局统计!$B$4</x:f>
        <x:v>#NAME?</x:v>
      </x:c>
      <x:c r="G98" s="3">
        <x:f t="shared" si="3"/>
        <x:v>0.00297745640153126</x:v>
      </x:c>
      <x:c r="H98">
        <x:v>5</x:v>
      </x:c>
      <x:c r="I98">
        <x:v>2</x:v>
      </x:c>
      <x:c r="J98">
        <x:v>0</x:v>
      </x:c>
      <x:c r="K98" s="3">
        <x:f t="shared" si="4"/>
        <x:v>0.714285714285714</x:v>
      </x:c>
      <x:c r="L98" s="3">
        <x:f t="shared" si="5"/>
        <x:v>0</x:v>
      </x:c>
      <x:c r="M98" t="s">
        <x:v>130</x:v>
      </x:c>
    </x:row>
    <x:row r="99">
      <x:c r="A99" t="s">
        <x:v>121</x:v>
      </x:c>
      <x:c r="B99" t="s">
        <x:v>8</x:v>
      </x:c>
      <x:c r="C99" t="s">
        <x:v>7</x:v>
      </x:c>
      <x:c r="D99" t="s">
        <x:v>129</x:v>
      </x:c>
      <x:c r="E99">
        <x:v>7</x:v>
      </x:c>
      <x:c r="F99" s="3" t="e">
        <x:f>E99/全局统计!$B$4</x:f>
        <x:v>#NAME?</x:v>
      </x:c>
      <x:c r="G99" s="3">
        <x:f t="shared" si="3"/>
        <x:v>0.00640439158279963</x:v>
      </x:c>
      <x:c r="H99">
        <x:v>0</x:v>
      </x:c>
      <x:c r="I99">
        <x:v>7</x:v>
      </x:c>
      <x:c r="J99">
        <x:v>0</x:v>
      </x:c>
      <x:c r="K99" s="3">
        <x:f t="shared" si="4"/>
        <x:v>0</x:v>
      </x:c>
      <x:c r="L99" s="3">
        <x:f t="shared" si="5"/>
        <x:v>0</x:v>
      </x:c>
      <x:c r="M99" t="s">
        <x:v>131</x:v>
      </x:c>
    </x:row>
    <x:row r="100">
      <x:c r="A100" t="s">
        <x:v>122</x:v>
      </x:c>
      <x:c r="B100" t="s">
        <x:v>8</x:v>
      </x:c>
      <x:c r="C100" t="s">
        <x:v>7</x:v>
      </x:c>
      <x:c r="D100" t="s">
        <x:v>64</x:v>
      </x:c>
      <x:c r="E100">
        <x:v>7</x:v>
      </x:c>
      <x:c r="F100" s="3" t="e">
        <x:f>E100/全局统计!$B$4</x:f>
        <x:v>#NAME?</x:v>
      </x:c>
      <x:c r="G100" s="3">
        <x:f t="shared" si="3"/>
        <x:v>0.0247349823321555</x:v>
      </x:c>
      <x:c r="H100">
        <x:v>4</x:v>
      </x:c>
      <x:c r="I100">
        <x:v>3</x:v>
      </x:c>
      <x:c r="J100">
        <x:v>0</x:v>
      </x:c>
      <x:c r="K100" s="3">
        <x:f t="shared" si="4"/>
        <x:v>0.571428571428571</x:v>
      </x:c>
      <x:c r="L100" s="3">
        <x:f t="shared" si="5"/>
        <x:v>0</x:v>
      </x:c>
      <x:c r="M100" t="s">
        <x:v>130</x:v>
      </x:c>
    </x:row>
    <x:row r="101">
      <x:c r="A101" t="s">
        <x:v>123</x:v>
      </x:c>
      <x:c r="B101" t="s">
        <x:v>8</x:v>
      </x:c>
      <x:c r="C101" t="s">
        <x:v>17</x:v>
      </x:c>
      <x:c r="D101" t="s">
        <x:v>64</x:v>
      </x:c>
      <x:c r="E101">
        <x:v>7</x:v>
      </x:c>
      <x:c r="F101" s="3" t="e">
        <x:f>E101/全局统计!$B$4</x:f>
        <x:v>#NAME?</x:v>
      </x:c>
      <x:c r="G101" s="3">
        <x:f t="shared" si="3"/>
        <x:v>0.0161662817551963</x:v>
      </x:c>
      <x:c r="H101">
        <x:v>4</x:v>
      </x:c>
      <x:c r="I101">
        <x:v>3</x:v>
      </x:c>
      <x:c r="J101">
        <x:v>0</x:v>
      </x:c>
      <x:c r="K101" s="3">
        <x:f t="shared" si="4"/>
        <x:v>0.571428571428571</x:v>
      </x:c>
      <x:c r="L101" s="3">
        <x:f t="shared" si="5"/>
        <x:v>0</x:v>
      </x:c>
      <x:c r="M101" t="s">
        <x:v>130</x:v>
      </x:c>
    </x:row>
    <x:row r="102">
      <x:c r="A102" t="s">
        <x:v>118</x:v>
      </x:c>
      <x:c r="B102" t="s">
        <x:v>28</x:v>
      </x:c>
      <x:c r="C102" t="s">
        <x:v>27</x:v>
      </x:c>
      <x:c r="D102" t="s">
        <x:v>51</x:v>
      </x:c>
      <x:c r="E102">
        <x:v>6</x:v>
      </x:c>
      <x:c r="F102" s="3" t="e">
        <x:f>E102/全局统计!$B$4</x:f>
        <x:v>#NAME?</x:v>
      </x:c>
      <x:c r="G102" s="3">
        <x:f t="shared" si="3"/>
        <x:v>0.09375</x:v>
      </x:c>
      <x:c r="H102">
        <x:v>4</x:v>
      </x:c>
      <x:c r="I102">
        <x:v>2</x:v>
      </x:c>
      <x:c r="J102">
        <x:v>0</x:v>
      </x:c>
      <x:c r="K102" s="3">
        <x:f t="shared" si="4"/>
        <x:v>0.666666666666667</x:v>
      </x:c>
      <x:c r="L102" s="3">
        <x:f t="shared" si="5"/>
        <x:v>0</x:v>
      </x:c>
      <x:c r="M102" t="s">
        <x:v>130</x:v>
      </x:c>
    </x:row>
    <x:row r="103">
      <x:c r="A103" t="s">
        <x:v>119</x:v>
      </x:c>
      <x:c r="B103" t="s">
        <x:v>8</x:v>
      </x:c>
      <x:c r="C103" t="s">
        <x:v>14</x:v>
      </x:c>
      <x:c r="D103" t="s">
        <x:v>56</x:v>
      </x:c>
      <x:c r="E103">
        <x:v>6</x:v>
      </x:c>
      <x:c r="F103" s="3" t="e">
        <x:f>E103/全局统计!$B$4</x:f>
        <x:v>#NAME?</x:v>
      </x:c>
      <x:c r="G103" s="3">
        <x:f t="shared" si="3"/>
        <x:v>0.028436018957346</x:v>
      </x:c>
      <x:c r="H103">
        <x:v>3</x:v>
      </x:c>
      <x:c r="I103">
        <x:v>3</x:v>
      </x:c>
      <x:c r="J103">
        <x:v>0</x:v>
      </x:c>
      <x:c r="K103" s="3">
        <x:f t="shared" si="4"/>
        <x:v>0.5</x:v>
      </x:c>
      <x:c r="L103" s="3">
        <x:f t="shared" si="5"/>
        <x:v>0</x:v>
      </x:c>
      <x:c r="M103" t="s">
        <x:v>130</x:v>
      </x:c>
    </x:row>
    <x:row r="104">
      <x:c r="A104" t="s">
        <x:v>119</x:v>
      </x:c>
      <x:c r="B104" t="s">
        <x:v>8</x:v>
      </x:c>
      <x:c r="C104" t="s">
        <x:v>7</x:v>
      </x:c>
      <x:c r="D104" t="s">
        <x:v>51</x:v>
      </x:c>
      <x:c r="E104">
        <x:v>6</x:v>
      </x:c>
      <x:c r="F104" s="3" t="e">
        <x:f>E104/全局统计!$B$4</x:f>
        <x:v>#NAME?</x:v>
      </x:c>
      <x:c r="G104" s="3">
        <x:f t="shared" si="3"/>
        <x:v>0.028436018957346</x:v>
      </x:c>
      <x:c r="H104">
        <x:v>3</x:v>
      </x:c>
      <x:c r="I104">
        <x:v>3</x:v>
      </x:c>
      <x:c r="J104">
        <x:v>0</x:v>
      </x:c>
      <x:c r="K104" s="3">
        <x:f t="shared" si="4"/>
        <x:v>0.5</x:v>
      </x:c>
      <x:c r="L104" s="3">
        <x:f t="shared" si="5"/>
        <x:v>0</x:v>
      </x:c>
      <x:c r="M104" t="s">
        <x:v>130</x:v>
      </x:c>
    </x:row>
    <x:row r="105">
      <x:c r="A105" t="s">
        <x:v>120</x:v>
      </x:c>
      <x:c r="B105" t="s">
        <x:v>28</x:v>
      </x:c>
      <x:c r="C105" t="s">
        <x:v>27</x:v>
      </x:c>
      <x:c r="D105" t="s">
        <x:v>64</x:v>
      </x:c>
      <x:c r="E105">
        <x:v>6</x:v>
      </x:c>
      <x:c r="F105" s="3" t="e">
        <x:f>E105/全局统计!$B$4</x:f>
        <x:v>#NAME?</x:v>
      </x:c>
      <x:c r="G105" s="3">
        <x:f t="shared" si="3"/>
        <x:v>0.0192307692307692</x:v>
      </x:c>
      <x:c r="H105">
        <x:v>5</x:v>
      </x:c>
      <x:c r="I105">
        <x:v>1</x:v>
      </x:c>
      <x:c r="J105">
        <x:v>0</x:v>
      </x:c>
      <x:c r="K105" s="3">
        <x:f t="shared" si="4"/>
        <x:v>0.833333333333333</x:v>
      </x:c>
      <x:c r="L105" s="3">
        <x:f t="shared" si="5"/>
        <x:v>0</x:v>
      </x:c>
      <x:c r="M105" t="s">
        <x:v>130</x:v>
      </x:c>
    </x:row>
    <x:row r="106">
      <x:c r="A106" t="s">
        <x:v>120</x:v>
      </x:c>
      <x:c r="B106" t="s">
        <x:v>8</x:v>
      </x:c>
      <x:c r="C106" t="s">
        <x:v>7</x:v>
      </x:c>
      <x:c r="D106" t="s">
        <x:v>64</x:v>
      </x:c>
      <x:c r="E106">
        <x:v>6</x:v>
      </x:c>
      <x:c r="F106" s="3" t="e">
        <x:f>E106/全局统计!$B$4</x:f>
        <x:v>#NAME?</x:v>
      </x:c>
      <x:c r="G106" s="3">
        <x:f t="shared" si="3"/>
        <x:v>0.0192307692307692</x:v>
      </x:c>
      <x:c r="H106">
        <x:v>5</x:v>
      </x:c>
      <x:c r="I106">
        <x:v>1</x:v>
      </x:c>
      <x:c r="J106">
        <x:v>0</x:v>
      </x:c>
      <x:c r="K106" s="3">
        <x:f t="shared" si="4"/>
        <x:v>0.833333333333333</x:v>
      </x:c>
      <x:c r="L106" s="3">
        <x:f t="shared" si="5"/>
        <x:v>0</x:v>
      </x:c>
      <x:c r="M106" t="s">
        <x:v>130</x:v>
      </x:c>
    </x:row>
    <x:row r="107">
      <x:c r="A107" t="s">
        <x:v>120</x:v>
      </x:c>
      <x:c r="B107" t="s">
        <x:v>8</x:v>
      </x:c>
      <x:c r="C107" t="s">
        <x:v>17</x:v>
      </x:c>
      <x:c r="D107" t="s">
        <x:v>64</x:v>
      </x:c>
      <x:c r="E107">
        <x:v>6</x:v>
      </x:c>
      <x:c r="F107" s="3" t="e">
        <x:f>E107/全局统计!$B$4</x:f>
        <x:v>#NAME?</x:v>
      </x:c>
      <x:c r="G107" s="3">
        <x:f t="shared" si="3"/>
        <x:v>0.0192307692307692</x:v>
      </x:c>
      <x:c r="H107">
        <x:v>4</x:v>
      </x:c>
      <x:c r="I107">
        <x:v>2</x:v>
      </x:c>
      <x:c r="J107">
        <x:v>0</x:v>
      </x:c>
      <x:c r="K107" s="3">
        <x:f t="shared" si="4"/>
        <x:v>0.666666666666667</x:v>
      </x:c>
      <x:c r="L107" s="3">
        <x:f t="shared" si="5"/>
        <x:v>0</x:v>
      </x:c>
      <x:c r="M107" t="s">
        <x:v>130</x:v>
      </x:c>
    </x:row>
    <x:row r="108">
      <x:c r="A108" t="s">
        <x:v>120</x:v>
      </x:c>
      <x:c r="B108" t="s">
        <x:v>8</x:v>
      </x:c>
      <x:c r="C108" t="s">
        <x:v>11</x:v>
      </x:c>
      <x:c r="D108" t="s">
        <x:v>56</x:v>
      </x:c>
      <x:c r="E108">
        <x:v>6</x:v>
      </x:c>
      <x:c r="F108" s="3" t="e">
        <x:f>E108/全局统计!$B$4</x:f>
        <x:v>#NAME?</x:v>
      </x:c>
      <x:c r="G108" s="3">
        <x:f t="shared" si="3"/>
        <x:v>0.0192307692307692</x:v>
      </x:c>
      <x:c r="H108">
        <x:v>1</x:v>
      </x:c>
      <x:c r="I108">
        <x:v>5</x:v>
      </x:c>
      <x:c r="J108">
        <x:v>0</x:v>
      </x:c>
      <x:c r="K108" s="3">
        <x:f t="shared" si="4"/>
        <x:v>0.166666666666667</x:v>
      </x:c>
      <x:c r="L108" s="3">
        <x:f t="shared" si="5"/>
        <x:v>0</x:v>
      </x:c>
      <x:c r="M108" t="s">
        <x:v>131</x:v>
      </x:c>
    </x:row>
    <x:row r="109">
      <x:c r="A109" t="s">
        <x:v>129</x:v>
      </x:c>
      <x:c r="B109" t="s">
        <x:v>8</x:v>
      </x:c>
      <x:c r="C109" t="s">
        <x:v>14</x:v>
      </x:c>
      <x:c r="D109" t="s">
        <x:v>64</x:v>
      </x:c>
      <x:c r="E109">
        <x:v>6</x:v>
      </x:c>
      <x:c r="F109" s="3" t="e">
        <x:f>E109/全局统计!$B$4</x:f>
        <x:v>#NAME?</x:v>
      </x:c>
      <x:c r="G109" s="3">
        <x:f t="shared" si="3"/>
        <x:v>0.0025521054870268</x:v>
      </x:c>
      <x:c r="H109">
        <x:v>3</x:v>
      </x:c>
      <x:c r="I109">
        <x:v>3</x:v>
      </x:c>
      <x:c r="J109">
        <x:v>0</x:v>
      </x:c>
      <x:c r="K109" s="3">
        <x:f t="shared" si="4"/>
        <x:v>0.5</x:v>
      </x:c>
      <x:c r="L109" s="3">
        <x:f t="shared" si="5"/>
        <x:v>0</x:v>
      </x:c>
      <x:c r="M109" t="s">
        <x:v>130</x:v>
      </x:c>
    </x:row>
    <x:row r="110">
      <x:c r="A110" t="s">
        <x:v>129</x:v>
      </x:c>
      <x:c r="B110" t="s">
        <x:v>8</x:v>
      </x:c>
      <x:c r="C110" t="s">
        <x:v>68</x:v>
      </x:c>
      <x:c r="D110" t="s">
        <x:v>64</x:v>
      </x:c>
      <x:c r="E110">
        <x:v>6</x:v>
      </x:c>
      <x:c r="F110" s="3" t="e">
        <x:f>E110/全局统计!$B$4</x:f>
        <x:v>#NAME?</x:v>
      </x:c>
      <x:c r="G110" s="3">
        <x:f t="shared" si="3"/>
        <x:v>0.0025521054870268</x:v>
      </x:c>
      <x:c r="H110">
        <x:v>4</x:v>
      </x:c>
      <x:c r="I110">
        <x:v>2</x:v>
      </x:c>
      <x:c r="J110">
        <x:v>0</x:v>
      </x:c>
      <x:c r="K110" s="3">
        <x:f t="shared" si="4"/>
        <x:v>0.666666666666667</x:v>
      </x:c>
      <x:c r="L110" s="3">
        <x:f t="shared" si="5"/>
        <x:v>0</x:v>
      </x:c>
      <x:c r="M110" t="s">
        <x:v>130</x:v>
      </x:c>
    </x:row>
    <x:row r="111">
      <x:c r="A111" t="s">
        <x:v>121</x:v>
      </x:c>
      <x:c r="B111" t="s">
        <x:v>21</x:v>
      </x:c>
      <x:c r="C111" t="s">
        <x:v>20</x:v>
      </x:c>
      <x:c r="D111" t="s">
        <x:v>51</x:v>
      </x:c>
      <x:c r="E111">
        <x:v>6</x:v>
      </x:c>
      <x:c r="F111" s="3" t="e">
        <x:f>E111/全局统计!$B$4</x:f>
        <x:v>#NAME?</x:v>
      </x:c>
      <x:c r="G111" s="3">
        <x:f t="shared" si="3"/>
        <x:v>0.00548947849954254</x:v>
      </x:c>
      <x:c r="H111">
        <x:v>4</x:v>
      </x:c>
      <x:c r="I111">
        <x:v>2</x:v>
      </x:c>
      <x:c r="J111">
        <x:v>0</x:v>
      </x:c>
      <x:c r="K111" s="3">
        <x:f t="shared" si="4"/>
        <x:v>0.666666666666667</x:v>
      </x:c>
      <x:c r="L111" s="3">
        <x:f t="shared" si="5"/>
        <x:v>0</x:v>
      </x:c>
      <x:c r="M111" t="s">
        <x:v>130</x:v>
      </x:c>
    </x:row>
    <x:row r="112">
      <x:c r="A112" t="s">
        <x:v>121</x:v>
      </x:c>
      <x:c r="B112" t="s">
        <x:v>21</x:v>
      </x:c>
      <x:c r="C112" t="s">
        <x:v>20</x:v>
      </x:c>
      <x:c r="D112" t="s">
        <x:v>47</x:v>
      </x:c>
      <x:c r="E112">
        <x:v>6</x:v>
      </x:c>
      <x:c r="F112" s="3" t="e">
        <x:f>E112/全局统计!$B$4</x:f>
        <x:v>#NAME?</x:v>
      </x:c>
      <x:c r="G112" s="3">
        <x:f t="shared" si="3"/>
        <x:v>0.00548947849954254</x:v>
      </x:c>
      <x:c r="H112">
        <x:v>4</x:v>
      </x:c>
      <x:c r="I112">
        <x:v>1</x:v>
      </x:c>
      <x:c r="J112">
        <x:v>1</x:v>
      </x:c>
      <x:c r="K112" s="3">
        <x:f t="shared" si="4"/>
        <x:v>0.666666666666667</x:v>
      </x:c>
      <x:c r="L112" s="3">
        <x:f t="shared" si="5"/>
        <x:v>0.166666666666667</x:v>
      </x:c>
      <x:c r="M112" t="s">
        <x:v>130</x:v>
      </x:c>
    </x:row>
    <x:row r="113">
      <x:c r="A113" t="s">
        <x:v>121</x:v>
      </x:c>
      <x:c r="B113" t="s">
        <x:v>8</x:v>
      </x:c>
      <x:c r="C113" t="s">
        <x:v>55</x:v>
      </x:c>
      <x:c r="D113" t="s">
        <x:v>64</x:v>
      </x:c>
      <x:c r="E113">
        <x:v>6</x:v>
      </x:c>
      <x:c r="F113" s="3" t="e">
        <x:f>E113/全局统计!$B$4</x:f>
        <x:v>#NAME?</x:v>
      </x:c>
      <x:c r="G113" s="3">
        <x:f t="shared" si="3"/>
        <x:v>0.00548947849954254</x:v>
      </x:c>
      <x:c r="H113">
        <x:v>4</x:v>
      </x:c>
      <x:c r="I113">
        <x:v>2</x:v>
      </x:c>
      <x:c r="J113">
        <x:v>0</x:v>
      </x:c>
      <x:c r="K113" s="3">
        <x:f t="shared" si="4"/>
        <x:v>0.666666666666667</x:v>
      </x:c>
      <x:c r="L113" s="3">
        <x:f t="shared" si="5"/>
        <x:v>0</x:v>
      </x:c>
      <x:c r="M113" t="s">
        <x:v>130</x:v>
      </x:c>
    </x:row>
    <x:row r="114">
      <x:c r="A114" t="s">
        <x:v>122</x:v>
      </x:c>
      <x:c r="B114" t="s">
        <x:v>8</x:v>
      </x:c>
      <x:c r="C114" t="s">
        <x:v>7</x:v>
      </x:c>
      <x:c r="D114" t="s">
        <x:v>56</x:v>
      </x:c>
      <x:c r="E114">
        <x:v>6</x:v>
      </x:c>
      <x:c r="F114" s="3" t="e">
        <x:f>E114/全局统计!$B$4</x:f>
        <x:v>#NAME?</x:v>
      </x:c>
      <x:c r="G114" s="3">
        <x:f t="shared" si="3"/>
        <x:v>0.0212014134275618</x:v>
      </x:c>
      <x:c r="H114">
        <x:v>1</x:v>
      </x:c>
      <x:c r="I114">
        <x:v>5</x:v>
      </x:c>
      <x:c r="J114">
        <x:v>0</x:v>
      </x:c>
      <x:c r="K114" s="3">
        <x:f t="shared" si="4"/>
        <x:v>0.166666666666667</x:v>
      </x:c>
      <x:c r="L114" s="3">
        <x:f t="shared" si="5"/>
        <x:v>0</x:v>
      </x:c>
      <x:c r="M114" t="s">
        <x:v>131</x:v>
      </x:c>
    </x:row>
    <x:row r="115">
      <x:c r="A115" t="s">
        <x:v>123</x:v>
      </x:c>
      <x:c r="B115" t="s">
        <x:v>8</x:v>
      </x:c>
      <x:c r="C115" t="s">
        <x:v>14</x:v>
      </x:c>
      <x:c r="D115" t="s">
        <x:v>47</x:v>
      </x:c>
      <x:c r="E115">
        <x:v>6</x:v>
      </x:c>
      <x:c r="F115" s="3" t="e">
        <x:f>E115/全局统计!$B$4</x:f>
        <x:v>#NAME?</x:v>
      </x:c>
      <x:c r="G115" s="3">
        <x:f t="shared" si="3"/>
        <x:v>0.0138568129330254</x:v>
      </x:c>
      <x:c r="H115">
        <x:v>6</x:v>
      </x:c>
      <x:c r="I115">
        <x:v>0</x:v>
      </x:c>
      <x:c r="J115">
        <x:v>0</x:v>
      </x:c>
      <x:c r="K115" s="3">
        <x:f t="shared" si="4"/>
        <x:v>1</x:v>
      </x:c>
      <x:c r="L115" s="3">
        <x:f t="shared" si="5"/>
        <x:v>0</x:v>
      </x:c>
      <x:c r="M115" t="s">
        <x:v>130</x:v>
      </x:c>
    </x:row>
    <x:row r="116">
      <x:c r="A116" t="s">
        <x:v>119</x:v>
      </x:c>
      <x:c r="B116" t="s">
        <x:v>28</x:v>
      </x:c>
      <x:c r="C116" t="s">
        <x:v>27</x:v>
      </x:c>
      <x:c r="D116" t="s">
        <x:v>47</x:v>
      </x:c>
      <x:c r="E116">
        <x:v>5</x:v>
      </x:c>
      <x:c r="F116" s="3" t="e">
        <x:f>E116/全局统计!$B$4</x:f>
        <x:v>#NAME?</x:v>
      </x:c>
      <x:c r="G116" s="3">
        <x:f t="shared" si="3"/>
        <x:v>0.023696682464455</x:v>
      </x:c>
      <x:c r="H116">
        <x:v>4</x:v>
      </x:c>
      <x:c r="I116">
        <x:v>1</x:v>
      </x:c>
      <x:c r="J116">
        <x:v>0</x:v>
      </x:c>
      <x:c r="K116" s="3">
        <x:f t="shared" si="4"/>
        <x:v>0.8</x:v>
      </x:c>
      <x:c r="L116" s="3">
        <x:f t="shared" si="5"/>
        <x:v>0</x:v>
      </x:c>
      <x:c r="M116" t="s">
        <x:v>130</x:v>
      </x:c>
    </x:row>
    <x:row r="117">
      <x:c r="A117" t="s">
        <x:v>120</x:v>
      </x:c>
      <x:c r="B117" t="s">
        <x:v>8</x:v>
      </x:c>
      <x:c r="C117" t="s">
        <x:v>14</x:v>
      </x:c>
      <x:c r="D117" t="s">
        <x:v>56</x:v>
      </x:c>
      <x:c r="E117">
        <x:v>5</x:v>
      </x:c>
      <x:c r="F117" s="3" t="e">
        <x:f>E117/全局统计!$B$4</x:f>
        <x:v>#NAME?</x:v>
      </x:c>
      <x:c r="G117" s="3">
        <x:f t="shared" si="3"/>
        <x:v>0.016025641025641</x:v>
      </x:c>
      <x:c r="H117">
        <x:v>4</x:v>
      </x:c>
      <x:c r="I117">
        <x:v>1</x:v>
      </x:c>
      <x:c r="J117">
        <x:v>0</x:v>
      </x:c>
      <x:c r="K117" s="3">
        <x:f t="shared" si="4"/>
        <x:v>0.8</x:v>
      </x:c>
      <x:c r="L117" s="3">
        <x:f t="shared" si="5"/>
        <x:v>0</x:v>
      </x:c>
      <x:c r="M117" t="s">
        <x:v>130</x:v>
      </x:c>
    </x:row>
    <x:row r="118">
      <x:c r="A118" t="s">
        <x:v>129</x:v>
      </x:c>
      <x:c r="B118" t="s">
        <x:v>21</x:v>
      </x:c>
      <x:c r="C118" t="s">
        <x:v>20</x:v>
      </x:c>
      <x:c r="D118" t="s">
        <x:v>64</x:v>
      </x:c>
      <x:c r="E118">
        <x:v>5</x:v>
      </x:c>
      <x:c r="F118" s="3" t="e">
        <x:f>E118/全局统计!$B$4</x:f>
        <x:v>#NAME?</x:v>
      </x:c>
      <x:c r="G118" s="3">
        <x:f t="shared" si="3"/>
        <x:v>0.00212675457252233</x:v>
      </x:c>
      <x:c r="H118">
        <x:v>4</x:v>
      </x:c>
      <x:c r="I118">
        <x:v>1</x:v>
      </x:c>
      <x:c r="J118">
        <x:v>0</x:v>
      </x:c>
      <x:c r="K118" s="3">
        <x:f t="shared" si="4"/>
        <x:v>0.8</x:v>
      </x:c>
      <x:c r="L118" s="3">
        <x:f t="shared" si="5"/>
        <x:v>0</x:v>
      </x:c>
      <x:c r="M118" t="s">
        <x:v>130</x:v>
      </x:c>
    </x:row>
    <x:row r="119">
      <x:c r="A119" t="s">
        <x:v>121</x:v>
      </x:c>
      <x:c r="B119" t="s">
        <x:v>8</x:v>
      </x:c>
      <x:c r="C119" t="s">
        <x:v>14</x:v>
      </x:c>
      <x:c r="D119" t="s">
        <x:v>51</x:v>
      </x:c>
      <x:c r="E119">
        <x:v>5</x:v>
      </x:c>
      <x:c r="F119" s="3" t="e">
        <x:f>E119/全局统计!$B$4</x:f>
        <x:v>#NAME?</x:v>
      </x:c>
      <x:c r="G119" s="3">
        <x:f t="shared" si="3"/>
        <x:v>0.00457456541628545</x:v>
      </x:c>
      <x:c r="H119">
        <x:v>4</x:v>
      </x:c>
      <x:c r="I119">
        <x:v>1</x:v>
      </x:c>
      <x:c r="J119">
        <x:v>0</x:v>
      </x:c>
      <x:c r="K119" s="3">
        <x:f t="shared" si="4"/>
        <x:v>0.8</x:v>
      </x:c>
      <x:c r="L119" s="3">
        <x:f t="shared" si="5"/>
        <x:v>0</x:v>
      </x:c>
      <x:c r="M119" t="s">
        <x:v>130</x:v>
      </x:c>
    </x:row>
    <x:row r="120">
      <x:c r="A120" t="s">
        <x:v>121</x:v>
      </x:c>
      <x:c r="B120" t="s">
        <x:v>21</x:v>
      </x:c>
      <x:c r="C120" t="s">
        <x:v>20</x:v>
      </x:c>
      <x:c r="D120" t="s">
        <x:v>111</x:v>
      </x:c>
      <x:c r="E120">
        <x:v>5</x:v>
      </x:c>
      <x:c r="F120" s="3" t="e">
        <x:f>E120/全局统计!$B$4</x:f>
        <x:v>#NAME?</x:v>
      </x:c>
      <x:c r="G120" s="3">
        <x:f t="shared" si="3"/>
        <x:v>0.00457456541628545</x:v>
      </x:c>
      <x:c r="H120">
        <x:v>1</x:v>
      </x:c>
      <x:c r="I120">
        <x:v>3</x:v>
      </x:c>
      <x:c r="J120">
        <x:v>1</x:v>
      </x:c>
      <x:c r="K120" s="3">
        <x:f t="shared" si="4"/>
        <x:v>0.2</x:v>
      </x:c>
      <x:c r="L120" s="3">
        <x:f t="shared" si="5"/>
        <x:v>0.2</x:v>
      </x:c>
      <x:c r="M120" t="s">
        <x:v>131</x:v>
      </x:c>
    </x:row>
    <x:row r="121">
      <x:c r="A121" t="s">
        <x:v>121</x:v>
      </x:c>
      <x:c r="B121" t="s">
        <x:v>8</x:v>
      </x:c>
      <x:c r="C121" t="s">
        <x:v>7</x:v>
      </x:c>
      <x:c r="D121" t="s">
        <x:v>111</x:v>
      </x:c>
      <x:c r="E121">
        <x:v>5</x:v>
      </x:c>
      <x:c r="F121" s="3" t="e">
        <x:f>E121/全局统计!$B$4</x:f>
        <x:v>#NAME?</x:v>
      </x:c>
      <x:c r="G121" s="3">
        <x:f t="shared" si="3"/>
        <x:v>0.00457456541628545</x:v>
      </x:c>
      <x:c r="H121">
        <x:v>4</x:v>
      </x:c>
      <x:c r="I121">
        <x:v>1</x:v>
      </x:c>
      <x:c r="J121">
        <x:v>0</x:v>
      </x:c>
      <x:c r="K121" s="3">
        <x:f t="shared" si="4"/>
        <x:v>0.8</x:v>
      </x:c>
      <x:c r="L121" s="3">
        <x:f t="shared" si="5"/>
        <x:v>0</x:v>
      </x:c>
      <x:c r="M121" t="s">
        <x:v>130</x:v>
      </x:c>
    </x:row>
    <x:row r="122">
      <x:c r="A122" t="s">
        <x:v>122</x:v>
      </x:c>
      <x:c r="B122" t="s">
        <x:v>8</x:v>
      </x:c>
      <x:c r="C122" t="s">
        <x:v>17</x:v>
      </x:c>
      <x:c r="D122" t="s">
        <x:v>64</x:v>
      </x:c>
      <x:c r="E122">
        <x:v>5</x:v>
      </x:c>
      <x:c r="F122" s="3" t="e">
        <x:f>E122/全局统计!$B$4</x:f>
        <x:v>#NAME?</x:v>
      </x:c>
      <x:c r="G122" s="3">
        <x:f t="shared" si="3"/>
        <x:v>0.0176678445229682</x:v>
      </x:c>
      <x:c r="H122">
        <x:v>1</x:v>
      </x:c>
      <x:c r="I122">
        <x:v>4</x:v>
      </x:c>
      <x:c r="J122">
        <x:v>0</x:v>
      </x:c>
      <x:c r="K122" s="3">
        <x:f t="shared" si="4"/>
        <x:v>0.2</x:v>
      </x:c>
      <x:c r="L122" s="3">
        <x:f t="shared" si="5"/>
        <x:v>0</x:v>
      </x:c>
      <x:c r="M122" t="s">
        <x:v>131</x:v>
      </x:c>
    </x:row>
    <x:row r="123">
      <x:c r="A123" t="s">
        <x:v>122</x:v>
      </x:c>
      <x:c r="B123" t="s">
        <x:v>8</x:v>
      </x:c>
      <x:c r="C123" t="s">
        <x:v>68</x:v>
      </x:c>
      <x:c r="D123" t="s">
        <x:v>51</x:v>
      </x:c>
      <x:c r="E123">
        <x:v>5</x:v>
      </x:c>
      <x:c r="F123" s="3" t="e">
        <x:f>E123/全局统计!$B$4</x:f>
        <x:v>#NAME?</x:v>
      </x:c>
      <x:c r="G123" s="3">
        <x:f t="shared" si="3"/>
        <x:v>0.0176678445229682</x:v>
      </x:c>
      <x:c r="H123">
        <x:v>3</x:v>
      </x:c>
      <x:c r="I123">
        <x:v>2</x:v>
      </x:c>
      <x:c r="J123">
        <x:v>0</x:v>
      </x:c>
      <x:c r="K123" s="3">
        <x:f t="shared" si="4"/>
        <x:v>0.6</x:v>
      </x:c>
      <x:c r="L123" s="3">
        <x:f t="shared" si="5"/>
        <x:v>0</x:v>
      </x:c>
      <x:c r="M123" t="s">
        <x:v>130</x:v>
      </x:c>
    </x:row>
    <x:row r="124">
      <x:c r="A124" t="s">
        <x:v>122</x:v>
      </x:c>
      <x:c r="B124" t="s">
        <x:v>8</x:v>
      </x:c>
      <x:c r="C124" t="s">
        <x:v>68</x:v>
      </x:c>
      <x:c r="D124" t="s">
        <x:v>56</x:v>
      </x:c>
      <x:c r="E124">
        <x:v>5</x:v>
      </x:c>
      <x:c r="F124" s="3" t="e">
        <x:f>E124/全局统计!$B$4</x:f>
        <x:v>#NAME?</x:v>
      </x:c>
      <x:c r="G124" s="3">
        <x:f t="shared" si="3"/>
        <x:v>0.0176678445229682</x:v>
      </x:c>
      <x:c r="H124">
        <x:v>2</x:v>
      </x:c>
      <x:c r="I124">
        <x:v>3</x:v>
      </x:c>
      <x:c r="J124">
        <x:v>0</x:v>
      </x:c>
      <x:c r="K124" s="3">
        <x:f t="shared" si="4"/>
        <x:v>0.4</x:v>
      </x:c>
      <x:c r="L124" s="3">
        <x:f t="shared" si="5"/>
        <x:v>0</x:v>
      </x:c>
      <x:c r="M124" t="s">
        <x:v>131</x:v>
      </x:c>
    </x:row>
    <x:row r="125">
      <x:c r="A125" t="s">
        <x:v>123</x:v>
      </x:c>
      <x:c r="B125" t="s">
        <x:v>21</x:v>
      </x:c>
      <x:c r="C125" t="s">
        <x:v>20</x:v>
      </x:c>
      <x:c r="D125" t="s">
        <x:v>56</x:v>
      </x:c>
      <x:c r="E125">
        <x:v>5</x:v>
      </x:c>
      <x:c r="F125" s="3" t="e">
        <x:f>E125/全局统计!$B$4</x:f>
        <x:v>#NAME?</x:v>
      </x:c>
      <x:c r="G125" s="3">
        <x:f t="shared" si="3"/>
        <x:v>0.0115473441108545</x:v>
      </x:c>
      <x:c r="H125">
        <x:v>2</x:v>
      </x:c>
      <x:c r="I125">
        <x:v>2</x:v>
      </x:c>
      <x:c r="J125">
        <x:v>1</x:v>
      </x:c>
      <x:c r="K125" s="3">
        <x:f t="shared" si="4"/>
        <x:v>0.4</x:v>
      </x:c>
      <x:c r="L125" s="3">
        <x:f t="shared" si="5"/>
        <x:v>0.2</x:v>
      </x:c>
      <x:c r="M125" t="s">
        <x:v>130</x:v>
      </x:c>
    </x:row>
    <x:row r="126">
      <x:c r="A126" t="s">
        <x:v>118</x:v>
      </x:c>
      <x:c r="B126" t="s">
        <x:v>8</x:v>
      </x:c>
      <x:c r="C126" t="s">
        <x:v>11</x:v>
      </x:c>
      <x:c r="D126" t="s">
        <x:v>111</x:v>
      </x:c>
      <x:c r="E126">
        <x:v>4</x:v>
      </x:c>
      <x:c r="F126" s="3" t="e">
        <x:f>E126/全局统计!$B$4</x:f>
        <x:v>#NAME?</x:v>
      </x:c>
      <x:c r="G126" s="3">
        <x:f t="shared" si="3"/>
        <x:v>0.0625</x:v>
      </x:c>
      <x:c r="H126">
        <x:v>2</x:v>
      </x:c>
      <x:c r="I126">
        <x:v>2</x:v>
      </x:c>
      <x:c r="J126">
        <x:v>0</x:v>
      </x:c>
      <x:c r="K126" s="3">
        <x:f t="shared" si="4"/>
        <x:v>0.5</x:v>
      </x:c>
      <x:c r="L126" s="3">
        <x:f t="shared" si="5"/>
        <x:v>0</x:v>
      </x:c>
      <x:c r="M126" t="s">
        <x:v>130</x:v>
      </x:c>
    </x:row>
    <x:row r="127">
      <x:c r="A127" t="s">
        <x:v>119</x:v>
      </x:c>
      <x:c r="B127" t="s">
        <x:v>28</x:v>
      </x:c>
      <x:c r="C127" t="s">
        <x:v>27</x:v>
      </x:c>
      <x:c r="D127" t="s">
        <x:v>56</x:v>
      </x:c>
      <x:c r="E127">
        <x:v>4</x:v>
      </x:c>
      <x:c r="F127" s="3" t="e">
        <x:f>E127/全局统计!$B$4</x:f>
        <x:v>#NAME?</x:v>
      </x:c>
      <x:c r="G127" s="3">
        <x:f t="shared" si="3"/>
        <x:v>0.018957345971564</x:v>
      </x:c>
      <x:c r="H127">
        <x:v>3</x:v>
      </x:c>
      <x:c r="I127">
        <x:v>1</x:v>
      </x:c>
      <x:c r="J127">
        <x:v>0</x:v>
      </x:c>
      <x:c r="K127" s="3">
        <x:f t="shared" si="4"/>
        <x:v>0.75</x:v>
      </x:c>
      <x:c r="L127" s="3">
        <x:f t="shared" si="5"/>
        <x:v>0</x:v>
      </x:c>
      <x:c r="M127" t="s">
        <x:v>130</x:v>
      </x:c>
    </x:row>
    <x:row r="128">
      <x:c r="A128" t="s">
        <x:v>119</x:v>
      </x:c>
      <x:c r="B128" t="s">
        <x:v>8</x:v>
      </x:c>
      <x:c r="C128" t="s">
        <x:v>17</x:v>
      </x:c>
      <x:c r="D128" t="s">
        <x:v>47</x:v>
      </x:c>
      <x:c r="E128">
        <x:v>4</x:v>
      </x:c>
      <x:c r="F128" s="3" t="e">
        <x:f>E128/全局统计!$B$4</x:f>
        <x:v>#NAME?</x:v>
      </x:c>
      <x:c r="G128" s="3">
        <x:f t="shared" si="3"/>
        <x:v>0.018957345971564</x:v>
      </x:c>
      <x:c r="H128">
        <x:v>4</x:v>
      </x:c>
      <x:c r="I128">
        <x:v>0</x:v>
      </x:c>
      <x:c r="J128">
        <x:v>0</x:v>
      </x:c>
      <x:c r="K128" s="3">
        <x:f t="shared" si="4"/>
        <x:v>1</x:v>
      </x:c>
      <x:c r="L128" s="3">
        <x:f t="shared" si="5"/>
        <x:v>0</x:v>
      </x:c>
      <x:c r="M128" t="s">
        <x:v>130</x:v>
      </x:c>
    </x:row>
    <x:row r="129">
      <x:c r="A129" t="s">
        <x:v>120</x:v>
      </x:c>
      <x:c r="B129" t="s">
        <x:v>8</x:v>
      </x:c>
      <x:c r="C129" t="s">
        <x:v>7</x:v>
      </x:c>
      <x:c r="D129" t="s">
        <x:v>56</x:v>
      </x:c>
      <x:c r="E129">
        <x:v>4</x:v>
      </x:c>
      <x:c r="F129" s="3" t="e">
        <x:f>E129/全局统计!$B$4</x:f>
        <x:v>#NAME?</x:v>
      </x:c>
      <x:c r="G129" s="3">
        <x:f t="shared" si="3"/>
        <x:v>0.0128205128205128</x:v>
      </x:c>
      <x:c r="H129">
        <x:v>1</x:v>
      </x:c>
      <x:c r="I129">
        <x:v>3</x:v>
      </x:c>
      <x:c r="J129">
        <x:v>0</x:v>
      </x:c>
      <x:c r="K129" s="3">
        <x:f t="shared" si="4"/>
        <x:v>0.25</x:v>
      </x:c>
      <x:c r="L129" s="3">
        <x:f t="shared" si="5"/>
        <x:v>0</x:v>
      </x:c>
      <x:c r="M129" t="s">
        <x:v>131</x:v>
      </x:c>
    </x:row>
    <x:row r="130">
      <x:c r="A130" t="s">
        <x:v>120</x:v>
      </x:c>
      <x:c r="B130" t="s">
        <x:v>8</x:v>
      </x:c>
      <x:c r="C130" t="s">
        <x:v>17</x:v>
      </x:c>
      <x:c r="D130" t="s">
        <x:v>132</x:v>
      </x:c>
      <x:c r="E130">
        <x:v>4</x:v>
      </x:c>
      <x:c r="F130" s="3" t="e">
        <x:f>E130/全局统计!$B$4</x:f>
        <x:v>#NAME?</x:v>
      </x:c>
      <x:c r="G130" s="3">
        <x:f t="shared" si="3"/>
        <x:v>0.0128205128205128</x:v>
      </x:c>
      <x:c r="H130">
        <x:v>4</x:v>
      </x:c>
      <x:c r="I130">
        <x:v>0</x:v>
      </x:c>
      <x:c r="J130">
        <x:v>0</x:v>
      </x:c>
      <x:c r="K130" s="3">
        <x:f t="shared" si="4"/>
        <x:v>1</x:v>
      </x:c>
      <x:c r="L130" s="3">
        <x:f t="shared" si="5"/>
        <x:v>0</x:v>
      </x:c>
      <x:c r="M130" t="s">
        <x:v>130</x:v>
      </x:c>
    </x:row>
    <x:row r="131">
      <x:c r="A131" t="s">
        <x:v>129</x:v>
      </x:c>
      <x:c r="B131" t="s">
        <x:v>8</x:v>
      </x:c>
      <x:c r="C131" t="s">
        <x:v>14</x:v>
      </x:c>
      <x:c r="D131" t="s">
        <x:v>111</x:v>
      </x:c>
      <x:c r="E131">
        <x:v>4</x:v>
      </x:c>
      <x:c r="F131" s="3" t="e">
        <x:f>E131/全局统计!$B$4</x:f>
        <x:v>#NAME?</x:v>
      </x:c>
      <x:c r="G131" s="3">
        <x:f t="shared" si="3"/>
        <x:v>0.00170140365801786</x:v>
      </x:c>
      <x:c r="H131">
        <x:v>2</x:v>
      </x:c>
      <x:c r="I131">
        <x:v>2</x:v>
      </x:c>
      <x:c r="J131">
        <x:v>0</x:v>
      </x:c>
      <x:c r="K131" s="3">
        <x:f t="shared" si="4"/>
        <x:v>0.5</x:v>
      </x:c>
      <x:c r="L131" s="3">
        <x:f t="shared" si="5"/>
        <x:v>0</x:v>
      </x:c>
      <x:c r="M131" t="s">
        <x:v>130</x:v>
      </x:c>
    </x:row>
    <x:row r="132">
      <x:c r="A132" t="s">
        <x:v>129</x:v>
      </x:c>
      <x:c r="B132" t="s">
        <x:v>8</x:v>
      </x:c>
      <x:c r="C132" t="s">
        <x:v>7</x:v>
      </x:c>
      <x:c r="D132" t="s">
        <x:v>129</x:v>
      </x:c>
      <x:c r="E132">
        <x:v>4</x:v>
      </x:c>
      <x:c r="F132" s="3" t="e">
        <x:f>E132/全局统计!$B$4</x:f>
        <x:v>#NAME?</x:v>
      </x:c>
      <x:c r="G132" s="3" t="n">
        <x:f t="shared" ref="G132:G195" si="6">E132/SUMIFS($E:$E,$A:$A,$A132)</x:f>
        <x:v>0.0017014036580178648</x:v>
      </x:c>
      <x:c r="H132">
        <x:v>0</x:v>
      </x:c>
      <x:c r="I132">
        <x:v>4</x:v>
      </x:c>
      <x:c r="J132">
        <x:v>0</x:v>
      </x:c>
      <x:c r="K132" s="3" t="n">
        <x:f t="shared" ref="K132:K195" si="7">H132/E132</x:f>
        <x:v>0</x:v>
      </x:c>
      <x:c r="L132" s="3" t="n">
        <x:f t="shared" ref="L132:L195" si="8">J132/E132</x:f>
        <x:v>0</x:v>
      </x:c>
      <x:c r="M132" t="s">
        <x:v>131</x:v>
      </x:c>
    </x:row>
    <x:row r="133">
      <x:c r="A133" t="s">
        <x:v>129</x:v>
      </x:c>
      <x:c r="B133" t="s">
        <x:v>8</x:v>
      </x:c>
      <x:c r="C133" t="s">
        <x:v>11</x:v>
      </x:c>
      <x:c r="D133" t="s">
        <x:v>51</x:v>
      </x:c>
      <x:c r="E133">
        <x:v>4</x:v>
      </x:c>
      <x:c r="F133" s="3" t="e">
        <x:f>E133/全局统计!$B$4</x:f>
        <x:v>#NAME?</x:v>
      </x:c>
      <x:c r="G133" s="3">
        <x:f t="shared" si="6"/>
        <x:v>0.00170140365801786</x:v>
      </x:c>
      <x:c r="H133">
        <x:v>1</x:v>
      </x:c>
      <x:c r="I133">
        <x:v>0</x:v>
      </x:c>
      <x:c r="J133">
        <x:v>3</x:v>
      </x:c>
      <x:c r="K133" s="3">
        <x:f t="shared" si="7"/>
        <x:v>0.25</x:v>
      </x:c>
      <x:c r="L133" s="3">
        <x:f t="shared" si="8"/>
        <x:v>0.75</x:v>
      </x:c>
      <x:c r="M133" t="s">
        <x:v>133</x:v>
      </x:c>
    </x:row>
    <x:row r="134">
      <x:c r="A134" t="s">
        <x:v>129</x:v>
      </x:c>
      <x:c r="B134" t="s">
        <x:v>8</x:v>
      </x:c>
      <x:c r="C134" t="s">
        <x:v>11</x:v>
      </x:c>
      <x:c r="D134" t="s">
        <x:v>64</x:v>
      </x:c>
      <x:c r="E134">
        <x:v>4</x:v>
      </x:c>
      <x:c r="F134" s="3" t="e">
        <x:f>E134/全局统计!$B$4</x:f>
        <x:v>#NAME?</x:v>
      </x:c>
      <x:c r="G134" s="3">
        <x:f t="shared" si="6"/>
        <x:v>0.00170140365801786</x:v>
      </x:c>
      <x:c r="H134">
        <x:v>3</x:v>
      </x:c>
      <x:c r="I134">
        <x:v>0</x:v>
      </x:c>
      <x:c r="J134">
        <x:v>1</x:v>
      </x:c>
      <x:c r="K134" s="3">
        <x:f t="shared" si="7"/>
        <x:v>0.75</x:v>
      </x:c>
      <x:c r="L134" s="3">
        <x:f t="shared" si="8"/>
        <x:v>0.25</x:v>
      </x:c>
      <x:c r="M134" t="s">
        <x:v>130</x:v>
      </x:c>
    </x:row>
    <x:row r="135">
      <x:c r="A135" t="s">
        <x:v>121</x:v>
      </x:c>
      <x:c r="B135" t="s">
        <x:v>21</x:v>
      </x:c>
      <x:c r="C135" t="s">
        <x:v>24</x:v>
      </x:c>
      <x:c r="D135" t="s">
        <x:v>47</x:v>
      </x:c>
      <x:c r="E135">
        <x:v>4</x:v>
      </x:c>
      <x:c r="F135" s="3" t="e">
        <x:f>E135/全局统计!$B$4</x:f>
        <x:v>#NAME?</x:v>
      </x:c>
      <x:c r="G135" s="3">
        <x:f t="shared" si="6"/>
        <x:v>0.00365965233302836</x:v>
      </x:c>
      <x:c r="H135">
        <x:v>4</x:v>
      </x:c>
      <x:c r="I135">
        <x:v>0</x:v>
      </x:c>
      <x:c r="J135">
        <x:v>0</x:v>
      </x:c>
      <x:c r="K135" s="3">
        <x:f t="shared" si="7"/>
        <x:v>1</x:v>
      </x:c>
      <x:c r="L135" s="3">
        <x:f t="shared" si="8"/>
        <x:v>0</x:v>
      </x:c>
      <x:c r="M135" t="s">
        <x:v>130</x:v>
      </x:c>
    </x:row>
    <x:row r="136">
      <x:c r="A136" t="s">
        <x:v>121</x:v>
      </x:c>
      <x:c r="B136" t="s">
        <x:v>8</x:v>
      </x:c>
      <x:c r="C136" t="s">
        <x:v>68</x:v>
      </x:c>
      <x:c r="D136" t="s">
        <x:v>47</x:v>
      </x:c>
      <x:c r="E136">
        <x:v>4</x:v>
      </x:c>
      <x:c r="F136" s="3" t="e">
        <x:f>E136/全局统计!$B$4</x:f>
        <x:v>#NAME?</x:v>
      </x:c>
      <x:c r="G136" s="3">
        <x:f t="shared" si="6"/>
        <x:v>0.00365965233302836</x:v>
      </x:c>
      <x:c r="H136">
        <x:v>4</x:v>
      </x:c>
      <x:c r="I136">
        <x:v>0</x:v>
      </x:c>
      <x:c r="J136">
        <x:v>0</x:v>
      </x:c>
      <x:c r="K136" s="3">
        <x:f t="shared" si="7"/>
        <x:v>1</x:v>
      </x:c>
      <x:c r="L136" s="3">
        <x:f t="shared" si="8"/>
        <x:v>0</x:v>
      </x:c>
      <x:c r="M136" t="s">
        <x:v>130</x:v>
      </x:c>
    </x:row>
    <x:row r="137">
      <x:c r="A137" t="s">
        <x:v>123</x:v>
      </x:c>
      <x:c r="B137" t="s">
        <x:v>8</x:v>
      </x:c>
      <x:c r="C137" t="s">
        <x:v>7</x:v>
      </x:c>
      <x:c r="D137" t="s">
        <x:v>129</x:v>
      </x:c>
      <x:c r="E137">
        <x:v>4</x:v>
      </x:c>
      <x:c r="F137" s="3" t="e">
        <x:f>E137/全局统计!$B$4</x:f>
        <x:v>#NAME?</x:v>
      </x:c>
      <x:c r="G137" s="3">
        <x:f t="shared" si="6"/>
        <x:v>0.0092378752886836</x:v>
      </x:c>
      <x:c r="H137">
        <x:v>0</x:v>
      </x:c>
      <x:c r="I137">
        <x:v>4</x:v>
      </x:c>
      <x:c r="J137">
        <x:v>0</x:v>
      </x:c>
      <x:c r="K137" s="3">
        <x:f t="shared" si="7"/>
        <x:v>0</x:v>
      </x:c>
      <x:c r="L137" s="3">
        <x:f t="shared" si="8"/>
        <x:v>0</x:v>
      </x:c>
      <x:c r="M137" t="s">
        <x:v>131</x:v>
      </x:c>
    </x:row>
    <x:row r="138">
      <x:c r="A138" t="s">
        <x:v>123</x:v>
      </x:c>
      <x:c r="B138" t="s">
        <x:v>8</x:v>
      </x:c>
      <x:c r="C138" t="s">
        <x:v>68</x:v>
      </x:c>
      <x:c r="D138" t="s">
        <x:v>47</x:v>
      </x:c>
      <x:c r="E138">
        <x:v>4</x:v>
      </x:c>
      <x:c r="F138" s="3" t="e">
        <x:f>E138/全局统计!$B$4</x:f>
        <x:v>#NAME?</x:v>
      </x:c>
      <x:c r="G138" s="3">
        <x:f t="shared" si="6"/>
        <x:v>0.0092378752886836</x:v>
      </x:c>
      <x:c r="H138">
        <x:v>3</x:v>
      </x:c>
      <x:c r="I138">
        <x:v>1</x:v>
      </x:c>
      <x:c r="J138">
        <x:v>0</x:v>
      </x:c>
      <x:c r="K138" s="3">
        <x:f t="shared" si="7"/>
        <x:v>0.75</x:v>
      </x:c>
      <x:c r="L138" s="3">
        <x:f t="shared" si="8"/>
        <x:v>0</x:v>
      </x:c>
      <x:c r="M138" t="s">
        <x:v>130</x:v>
      </x:c>
    </x:row>
    <x:row r="139">
      <x:c r="A139" t="s">
        <x:v>123</x:v>
      </x:c>
      <x:c r="B139" t="s">
        <x:v>8</x:v>
      </x:c>
      <x:c r="C139" t="s">
        <x:v>11</x:v>
      </x:c>
      <x:c r="D139" t="s">
        <x:v>64</x:v>
      </x:c>
      <x:c r="E139">
        <x:v>4</x:v>
      </x:c>
      <x:c r="F139" s="3" t="e">
        <x:f>E139/全局统计!$B$4</x:f>
        <x:v>#NAME?</x:v>
      </x:c>
      <x:c r="G139" s="3">
        <x:f t="shared" si="6"/>
        <x:v>0.0092378752886836</x:v>
      </x:c>
      <x:c r="H139">
        <x:v>4</x:v>
      </x:c>
      <x:c r="I139">
        <x:v>0</x:v>
      </x:c>
      <x:c r="J139">
        <x:v>0</x:v>
      </x:c>
      <x:c r="K139" s="3">
        <x:f t="shared" si="7"/>
        <x:v>1</x:v>
      </x:c>
      <x:c r="L139" s="3">
        <x:f t="shared" si="8"/>
        <x:v>0</x:v>
      </x:c>
      <x:c r="M139" t="s">
        <x:v>130</x:v>
      </x:c>
    </x:row>
    <x:row r="140">
      <x:c r="A140" t="s">
        <x:v>118</x:v>
      </x:c>
      <x:c r="B140" t="s">
        <x:v>28</x:v>
      </x:c>
      <x:c r="C140" t="s">
        <x:v>27</x:v>
      </x:c>
      <x:c r="D140" t="s">
        <x:v>64</x:v>
      </x:c>
      <x:c r="E140">
        <x:v>3</x:v>
      </x:c>
      <x:c r="F140" s="3" t="e">
        <x:f>E140/全局统计!$B$4</x:f>
        <x:v>#NAME?</x:v>
      </x:c>
      <x:c r="G140" s="3">
        <x:f t="shared" si="6"/>
        <x:v>0.046875</x:v>
      </x:c>
      <x:c r="H140">
        <x:v>1</x:v>
      </x:c>
      <x:c r="I140">
        <x:v>2</x:v>
      </x:c>
      <x:c r="J140">
        <x:v>0</x:v>
      </x:c>
      <x:c r="K140" s="3">
        <x:f t="shared" si="7"/>
        <x:v>0.333333333333333</x:v>
      </x:c>
      <x:c r="L140" s="3">
        <x:f t="shared" si="8"/>
        <x:v>0</x:v>
      </x:c>
      <x:c r="M140" t="s">
        <x:v>131</x:v>
      </x:c>
    </x:row>
    <x:row r="141">
      <x:c r="A141" t="s">
        <x:v>118</x:v>
      </x:c>
      <x:c r="B141" t="s">
        <x:v>8</x:v>
      </x:c>
      <x:c r="C141" t="s">
        <x:v>68</x:v>
      </x:c>
      <x:c r="D141" t="s">
        <x:v>56</x:v>
      </x:c>
      <x:c r="E141">
        <x:v>3</x:v>
      </x:c>
      <x:c r="F141" s="3" t="e">
        <x:f>E141/全局统计!$B$4</x:f>
        <x:v>#NAME?</x:v>
      </x:c>
      <x:c r="G141" s="3">
        <x:f t="shared" si="6"/>
        <x:v>0.046875</x:v>
      </x:c>
      <x:c r="H141">
        <x:v>0</x:v>
      </x:c>
      <x:c r="I141">
        <x:v>3</x:v>
      </x:c>
      <x:c r="J141">
        <x:v>0</x:v>
      </x:c>
      <x:c r="K141" s="3">
        <x:f t="shared" si="7"/>
        <x:v>0</x:v>
      </x:c>
      <x:c r="L141" s="3">
        <x:f t="shared" si="8"/>
        <x:v>0</x:v>
      </x:c>
      <x:c r="M141" t="s">
        <x:v>131</x:v>
      </x:c>
    </x:row>
    <x:row r="142">
      <x:c r="A142" t="s">
        <x:v>118</x:v>
      </x:c>
      <x:c r="B142" t="s">
        <x:v>8</x:v>
      </x:c>
      <x:c r="C142" t="s">
        <x:v>11</x:v>
      </x:c>
      <x:c r="D142" t="s">
        <x:v>47</x:v>
      </x:c>
      <x:c r="E142">
        <x:v>3</x:v>
      </x:c>
      <x:c r="F142" s="3" t="e">
        <x:f>E142/全局统计!$B$4</x:f>
        <x:v>#NAME?</x:v>
      </x:c>
      <x:c r="G142" s="3">
        <x:f t="shared" si="6"/>
        <x:v>0.046875</x:v>
      </x:c>
      <x:c r="H142">
        <x:v>2</x:v>
      </x:c>
      <x:c r="I142">
        <x:v>0</x:v>
      </x:c>
      <x:c r="J142">
        <x:v>1</x:v>
      </x:c>
      <x:c r="K142" s="3">
        <x:f t="shared" si="7"/>
        <x:v>0.666666666666667</x:v>
      </x:c>
      <x:c r="L142" s="3">
        <x:f t="shared" si="8"/>
        <x:v>0.333333333333333</x:v>
      </x:c>
      <x:c r="M142" t="s">
        <x:v>130</x:v>
      </x:c>
    </x:row>
    <x:row r="143">
      <x:c r="A143" t="s">
        <x:v>118</x:v>
      </x:c>
      <x:c r="B143" t="s">
        <x:v>8</x:v>
      </x:c>
      <x:c r="C143" t="s">
        <x:v>55</x:v>
      </x:c>
      <x:c r="D143" t="s">
        <x:v>56</x:v>
      </x:c>
      <x:c r="E143">
        <x:v>3</x:v>
      </x:c>
      <x:c r="F143" s="3" t="e">
        <x:f>E143/全局统计!$B$4</x:f>
        <x:v>#NAME?</x:v>
      </x:c>
      <x:c r="G143" s="3">
        <x:f t="shared" si="6"/>
        <x:v>0.046875</x:v>
      </x:c>
      <x:c r="H143">
        <x:v>1</x:v>
      </x:c>
      <x:c r="I143">
        <x:v>2</x:v>
      </x:c>
      <x:c r="J143">
        <x:v>0</x:v>
      </x:c>
      <x:c r="K143" s="3">
        <x:f t="shared" si="7"/>
        <x:v>0.333333333333333</x:v>
      </x:c>
      <x:c r="L143" s="3">
        <x:f t="shared" si="8"/>
        <x:v>0</x:v>
      </x:c>
      <x:c r="M143" t="s">
        <x:v>131</x:v>
      </x:c>
    </x:row>
    <x:row r="144">
      <x:c r="A144" t="s">
        <x:v>119</x:v>
      </x:c>
      <x:c r="B144" t="s">
        <x:v>21</x:v>
      </x:c>
      <x:c r="C144" t="s">
        <x:v>20</x:v>
      </x:c>
      <x:c r="D144" t="s">
        <x:v>56</x:v>
      </x:c>
      <x:c r="E144">
        <x:v>3</x:v>
      </x:c>
      <x:c r="F144" s="3" t="e">
        <x:f>E144/全局统计!$B$4</x:f>
        <x:v>#NAME?</x:v>
      </x:c>
      <x:c r="G144" s="3">
        <x:f t="shared" si="6"/>
        <x:v>0.014218009478673</x:v>
      </x:c>
      <x:c r="H144">
        <x:v>1</x:v>
      </x:c>
      <x:c r="I144">
        <x:v>2</x:v>
      </x:c>
      <x:c r="J144">
        <x:v>0</x:v>
      </x:c>
      <x:c r="K144" s="3">
        <x:f t="shared" si="7"/>
        <x:v>0.333333333333333</x:v>
      </x:c>
      <x:c r="L144" s="3">
        <x:f t="shared" si="8"/>
        <x:v>0</x:v>
      </x:c>
      <x:c r="M144" t="s">
        <x:v>131</x:v>
      </x:c>
    </x:row>
    <x:row r="145">
      <x:c r="A145" t="s">
        <x:v>119</x:v>
      </x:c>
      <x:c r="B145" t="s">
        <x:v>8</x:v>
      </x:c>
      <x:c r="C145" t="s">
        <x:v>7</x:v>
      </x:c>
      <x:c r="D145" t="s">
        <x:v>129</x:v>
      </x:c>
      <x:c r="E145">
        <x:v>3</x:v>
      </x:c>
      <x:c r="F145" s="3" t="e">
        <x:f>E145/全局统计!$B$4</x:f>
        <x:v>#NAME?</x:v>
      </x:c>
      <x:c r="G145" s="3">
        <x:f t="shared" si="6"/>
        <x:v>0.014218009478673</x:v>
      </x:c>
      <x:c r="H145">
        <x:v>0</x:v>
      </x:c>
      <x:c r="I145">
        <x:v>3</x:v>
      </x:c>
      <x:c r="J145">
        <x:v>0</x:v>
      </x:c>
      <x:c r="K145" s="3">
        <x:f t="shared" si="7"/>
        <x:v>0</x:v>
      </x:c>
      <x:c r="L145" s="3">
        <x:f t="shared" si="8"/>
        <x:v>0</x:v>
      </x:c>
      <x:c r="M145" t="s">
        <x:v>131</x:v>
      </x:c>
    </x:row>
    <x:row r="146">
      <x:c r="A146" t="s">
        <x:v>120</x:v>
      </x:c>
      <x:c r="B146" t="s">
        <x:v>8</x:v>
      </x:c>
      <x:c r="C146" t="s">
        <x:v>68</x:v>
      </x:c>
      <x:c r="D146" t="s">
        <x:v>132</x:v>
      </x:c>
      <x:c r="E146">
        <x:v>3</x:v>
      </x:c>
      <x:c r="F146" s="3" t="e">
        <x:f>E146/全局统计!$B$4</x:f>
        <x:v>#NAME?</x:v>
      </x:c>
      <x:c r="G146" s="3">
        <x:f t="shared" si="6"/>
        <x:v>0.00961538461538462</x:v>
      </x:c>
      <x:c r="H146">
        <x:v>2</x:v>
      </x:c>
      <x:c r="I146">
        <x:v>1</x:v>
      </x:c>
      <x:c r="J146">
        <x:v>0</x:v>
      </x:c>
      <x:c r="K146" s="3">
        <x:f t="shared" si="7"/>
        <x:v>0.666666666666667</x:v>
      </x:c>
      <x:c r="L146" s="3">
        <x:f t="shared" si="8"/>
        <x:v>0</x:v>
      </x:c>
      <x:c r="M146" t="s">
        <x:v>130</x:v>
      </x:c>
    </x:row>
    <x:row r="147">
      <x:c r="A147" t="s">
        <x:v>120</x:v>
      </x:c>
      <x:c r="B147" t="s">
        <x:v>8</x:v>
      </x:c>
      <x:c r="C147" t="s">
        <x:v>11</x:v>
      </x:c>
      <x:c r="D147" t="s">
        <x:v>51</x:v>
      </x:c>
      <x:c r="E147">
        <x:v>3</x:v>
      </x:c>
      <x:c r="F147" s="3" t="e">
        <x:f>E147/全局统计!$B$4</x:f>
        <x:v>#NAME?</x:v>
      </x:c>
      <x:c r="G147" s="3">
        <x:f t="shared" si="6"/>
        <x:v>0.00961538461538462</x:v>
      </x:c>
      <x:c r="H147">
        <x:v>0</x:v>
      </x:c>
      <x:c r="I147">
        <x:v>3</x:v>
      </x:c>
      <x:c r="J147">
        <x:v>0</x:v>
      </x:c>
      <x:c r="K147" s="3">
        <x:f t="shared" si="7"/>
        <x:v>0</x:v>
      </x:c>
      <x:c r="L147" s="3">
        <x:f t="shared" si="8"/>
        <x:v>0</x:v>
      </x:c>
      <x:c r="M147" t="s">
        <x:v>131</x:v>
      </x:c>
    </x:row>
    <x:row r="148">
      <x:c r="A148" t="s">
        <x:v>129</x:v>
      </x:c>
      <x:c r="B148" t="s">
        <x:v>21</x:v>
      </x:c>
      <x:c r="C148" t="s">
        <x:v>24</x:v>
      </x:c>
      <x:c r="D148" t="s">
        <x:v>64</x:v>
      </x:c>
      <x:c r="E148">
        <x:v>3</x:v>
      </x:c>
      <x:c r="F148" s="3" t="e">
        <x:f>E148/全局统计!$B$4</x:f>
        <x:v>#NAME?</x:v>
      </x:c>
      <x:c r="G148" s="3">
        <x:f t="shared" si="6"/>
        <x:v>0.0012760527435134</x:v>
      </x:c>
      <x:c r="H148">
        <x:v>3</x:v>
      </x:c>
      <x:c r="I148">
        <x:v>0</x:v>
      </x:c>
      <x:c r="J148">
        <x:v>0</x:v>
      </x:c>
      <x:c r="K148" s="3">
        <x:f t="shared" si="7"/>
        <x:v>1</x:v>
      </x:c>
      <x:c r="L148" s="3">
        <x:f t="shared" si="8"/>
        <x:v>0</x:v>
      </x:c>
      <x:c r="M148" t="s">
        <x:v>130</x:v>
      </x:c>
    </x:row>
    <x:row r="149">
      <x:c r="A149" t="s">
        <x:v>129</x:v>
      </x:c>
      <x:c r="B149" t="s">
        <x:v>21</x:v>
      </x:c>
      <x:c r="C149" t="s">
        <x:v>20</x:v>
      </x:c>
      <x:c r="D149" t="s">
        <x:v>129</x:v>
      </x:c>
      <x:c r="E149">
        <x:v>3</x:v>
      </x:c>
      <x:c r="F149" s="3" t="e">
        <x:f>E149/全局统计!$B$4</x:f>
        <x:v>#NAME?</x:v>
      </x:c>
      <x:c r="G149" s="3">
        <x:f t="shared" si="6"/>
        <x:v>0.0012760527435134</x:v>
      </x:c>
      <x:c r="H149">
        <x:v>0</x:v>
      </x:c>
      <x:c r="I149">
        <x:v>3</x:v>
      </x:c>
      <x:c r="J149">
        <x:v>0</x:v>
      </x:c>
      <x:c r="K149" s="3">
        <x:f t="shared" si="7"/>
        <x:v>0</x:v>
      </x:c>
      <x:c r="L149" s="3">
        <x:f t="shared" si="8"/>
        <x:v>0</x:v>
      </x:c>
      <x:c r="M149" t="s">
        <x:v>131</x:v>
      </x:c>
    </x:row>
    <x:row r="150">
      <x:c r="A150" t="s">
        <x:v>121</x:v>
      </x:c>
      <x:c r="B150" t="s">
        <x:v>28</x:v>
      </x:c>
      <x:c r="C150" t="s">
        <x:v>27</x:v>
      </x:c>
      <x:c r="D150" t="s">
        <x:v>111</x:v>
      </x:c>
      <x:c r="E150">
        <x:v>3</x:v>
      </x:c>
      <x:c r="F150" s="3" t="e">
        <x:f>E150/全局统计!$B$4</x:f>
        <x:v>#NAME?</x:v>
      </x:c>
      <x:c r="G150" s="3">
        <x:f t="shared" si="6"/>
        <x:v>0.00274473924977127</x:v>
      </x:c>
      <x:c r="H150">
        <x:v>2</x:v>
      </x:c>
      <x:c r="I150">
        <x:v>1</x:v>
      </x:c>
      <x:c r="J150">
        <x:v>0</x:v>
      </x:c>
      <x:c r="K150" s="3">
        <x:f t="shared" si="7"/>
        <x:v>0.666666666666667</x:v>
      </x:c>
      <x:c r="L150" s="3">
        <x:f t="shared" si="8"/>
        <x:v>0</x:v>
      </x:c>
      <x:c r="M150" t="s">
        <x:v>130</x:v>
      </x:c>
    </x:row>
    <x:row r="151">
      <x:c r="A151" t="s">
        <x:v>121</x:v>
      </x:c>
      <x:c r="B151" t="s">
        <x:v>28</x:v>
      </x:c>
      <x:c r="C151" t="s">
        <x:v>27</x:v>
      </x:c>
      <x:c r="D151" t="s">
        <x:v>129</x:v>
      </x:c>
      <x:c r="E151">
        <x:v>3</x:v>
      </x:c>
      <x:c r="F151" s="3" t="e">
        <x:f>E151/全局统计!$B$4</x:f>
        <x:v>#NAME?</x:v>
      </x:c>
      <x:c r="G151" s="3">
        <x:f t="shared" si="6"/>
        <x:v>0.00274473924977127</x:v>
      </x:c>
      <x:c r="H151">
        <x:v>0</x:v>
      </x:c>
      <x:c r="I151">
        <x:v>3</x:v>
      </x:c>
      <x:c r="J151">
        <x:v>0</x:v>
      </x:c>
      <x:c r="K151" s="3">
        <x:f t="shared" si="7"/>
        <x:v>0</x:v>
      </x:c>
      <x:c r="L151" s="3">
        <x:f t="shared" si="8"/>
        <x:v>0</x:v>
      </x:c>
      <x:c r="M151" t="s">
        <x:v>131</x:v>
      </x:c>
    </x:row>
    <x:row r="152">
      <x:c r="A152" t="s">
        <x:v>121</x:v>
      </x:c>
      <x:c r="B152" t="s">
        <x:v>21</x:v>
      </x:c>
      <x:c r="C152" t="s">
        <x:v>24</x:v>
      </x:c>
      <x:c r="D152" t="s">
        <x:v>111</x:v>
      </x:c>
      <x:c r="E152">
        <x:v>3</x:v>
      </x:c>
      <x:c r="F152" s="3" t="e">
        <x:f>E152/全局统计!$B$4</x:f>
        <x:v>#NAME?</x:v>
      </x:c>
      <x:c r="G152" s="3">
        <x:f t="shared" si="6"/>
        <x:v>0.00274473924977127</x:v>
      </x:c>
      <x:c r="H152">
        <x:v>1</x:v>
      </x:c>
      <x:c r="I152">
        <x:v>2</x:v>
      </x:c>
      <x:c r="J152">
        <x:v>0</x:v>
      </x:c>
      <x:c r="K152" s="3">
        <x:f t="shared" si="7"/>
        <x:v>0.333333333333333</x:v>
      </x:c>
      <x:c r="L152" s="3">
        <x:f t="shared" si="8"/>
        <x:v>0</x:v>
      </x:c>
      <x:c r="M152" t="s">
        <x:v>131</x:v>
      </x:c>
    </x:row>
    <x:row r="153">
      <x:c r="A153" t="s">
        <x:v>121</x:v>
      </x:c>
      <x:c r="B153" t="s">
        <x:v>8</x:v>
      </x:c>
      <x:c r="C153" t="s">
        <x:v>14</x:v>
      </x:c>
      <x:c r="D153" t="s">
        <x:v>111</x:v>
      </x:c>
      <x:c r="E153">
        <x:v>3</x:v>
      </x:c>
      <x:c r="F153" s="3" t="e">
        <x:f>E153/全局统计!$B$4</x:f>
        <x:v>#NAME?</x:v>
      </x:c>
      <x:c r="G153" s="3">
        <x:f t="shared" si="6"/>
        <x:v>0.00274473924977127</x:v>
      </x:c>
      <x:c r="H153">
        <x:v>1</x:v>
      </x:c>
      <x:c r="I153">
        <x:v>2</x:v>
      </x:c>
      <x:c r="J153">
        <x:v>0</x:v>
      </x:c>
      <x:c r="K153" s="3">
        <x:f t="shared" si="7"/>
        <x:v>0.333333333333333</x:v>
      </x:c>
      <x:c r="L153" s="3">
        <x:f t="shared" si="8"/>
        <x:v>0</x:v>
      </x:c>
      <x:c r="M153" t="s">
        <x:v>131</x:v>
      </x:c>
    </x:row>
    <x:row r="154">
      <x:c r="A154" t="s">
        <x:v>121</x:v>
      </x:c>
      <x:c r="B154" t="s">
        <x:v>8</x:v>
      </x:c>
      <x:c r="C154" t="s">
        <x:v>11</x:v>
      </x:c>
      <x:c r="D154" t="s">
        <x:v>51</x:v>
      </x:c>
      <x:c r="E154">
        <x:v>3</x:v>
      </x:c>
      <x:c r="F154" s="3" t="e">
        <x:f>E154/全局统计!$B$4</x:f>
        <x:v>#NAME?</x:v>
      </x:c>
      <x:c r="G154" s="3">
        <x:f t="shared" si="6"/>
        <x:v>0.00274473924977127</x:v>
      </x:c>
      <x:c r="H154">
        <x:v>1</x:v>
      </x:c>
      <x:c r="I154">
        <x:v>2</x:v>
      </x:c>
      <x:c r="J154">
        <x:v>0</x:v>
      </x:c>
      <x:c r="K154" s="3">
        <x:f t="shared" si="7"/>
        <x:v>0.333333333333333</x:v>
      </x:c>
      <x:c r="L154" s="3">
        <x:f t="shared" si="8"/>
        <x:v>0</x:v>
      </x:c>
      <x:c r="M154" t="s">
        <x:v>131</x:v>
      </x:c>
    </x:row>
    <x:row r="155">
      <x:c r="A155" t="s">
        <x:v>121</x:v>
      </x:c>
      <x:c r="B155" t="s">
        <x:v>8</x:v>
      </x:c>
      <x:c r="C155" t="s">
        <x:v>11</x:v>
      </x:c>
      <x:c r="D155" t="s">
        <x:v>111</x:v>
      </x:c>
      <x:c r="E155">
        <x:v>3</x:v>
      </x:c>
      <x:c r="F155" s="3" t="e">
        <x:f>E155/全局统计!$B$4</x:f>
        <x:v>#NAME?</x:v>
      </x:c>
      <x:c r="G155" s="3">
        <x:f t="shared" si="6"/>
        <x:v>0.00274473924977127</x:v>
      </x:c>
      <x:c r="H155">
        <x:v>2</x:v>
      </x:c>
      <x:c r="I155">
        <x:v>1</x:v>
      </x:c>
      <x:c r="J155">
        <x:v>0</x:v>
      </x:c>
      <x:c r="K155" s="3">
        <x:f t="shared" si="7"/>
        <x:v>0.666666666666667</x:v>
      </x:c>
      <x:c r="L155" s="3">
        <x:f t="shared" si="8"/>
        <x:v>0</x:v>
      </x:c>
      <x:c r="M155" t="s">
        <x:v>130</x:v>
      </x:c>
    </x:row>
    <x:row r="156">
      <x:c r="A156" t="s">
        <x:v>121</x:v>
      </x:c>
      <x:c r="B156" t="s">
        <x:v>8</x:v>
      </x:c>
      <x:c r="C156" t="s">
        <x:v>55</x:v>
      </x:c>
      <x:c r="D156" t="s">
        <x:v>47</x:v>
      </x:c>
      <x:c r="E156">
        <x:v>3</x:v>
      </x:c>
      <x:c r="F156" s="3" t="e">
        <x:f>E156/全局统计!$B$4</x:f>
        <x:v>#NAME?</x:v>
      </x:c>
      <x:c r="G156" s="3">
        <x:f t="shared" si="6"/>
        <x:v>0.00274473924977127</x:v>
      </x:c>
      <x:c r="H156">
        <x:v>3</x:v>
      </x:c>
      <x:c r="I156">
        <x:v>0</x:v>
      </x:c>
      <x:c r="J156">
        <x:v>0</x:v>
      </x:c>
      <x:c r="K156" s="3">
        <x:f t="shared" si="7"/>
        <x:v>1</x:v>
      </x:c>
      <x:c r="L156" s="3">
        <x:f t="shared" si="8"/>
        <x:v>0</x:v>
      </x:c>
      <x:c r="M156" t="s">
        <x:v>130</x:v>
      </x:c>
    </x:row>
    <x:row r="157">
      <x:c r="A157" t="s">
        <x:v>122</x:v>
      </x:c>
      <x:c r="B157" t="s">
        <x:v>21</x:v>
      </x:c>
      <x:c r="C157" t="s">
        <x:v>20</x:v>
      </x:c>
      <x:c r="D157" t="s">
        <x:v>56</x:v>
      </x:c>
      <x:c r="E157">
        <x:v>3</x:v>
      </x:c>
      <x:c r="F157" s="3" t="e">
        <x:f>E157/全局统计!$B$4</x:f>
        <x:v>#NAME?</x:v>
      </x:c>
      <x:c r="G157" s="3">
        <x:f t="shared" si="6"/>
        <x:v>0.0106007067137809</x:v>
      </x:c>
      <x:c r="H157">
        <x:v>0</x:v>
      </x:c>
      <x:c r="I157">
        <x:v>3</x:v>
      </x:c>
      <x:c r="J157">
        <x:v>0</x:v>
      </x:c>
      <x:c r="K157" s="3">
        <x:f t="shared" si="7"/>
        <x:v>0</x:v>
      </x:c>
      <x:c r="L157" s="3">
        <x:f t="shared" si="8"/>
        <x:v>0</x:v>
      </x:c>
      <x:c r="M157" t="s">
        <x:v>131</x:v>
      </x:c>
    </x:row>
    <x:row r="158">
      <x:c r="A158" t="s">
        <x:v>122</x:v>
      </x:c>
      <x:c r="B158" t="s">
        <x:v>8</x:v>
      </x:c>
      <x:c r="C158" t="s">
        <x:v>7</x:v>
      </x:c>
      <x:c r="D158" t="s">
        <x:v>111</x:v>
      </x:c>
      <x:c r="E158">
        <x:v>3</x:v>
      </x:c>
      <x:c r="F158" s="3" t="e">
        <x:f>E158/全局统计!$B$4</x:f>
        <x:v>#NAME?</x:v>
      </x:c>
      <x:c r="G158" s="3">
        <x:f t="shared" si="6"/>
        <x:v>0.0106007067137809</x:v>
      </x:c>
      <x:c r="H158">
        <x:v>2</x:v>
      </x:c>
      <x:c r="I158">
        <x:v>1</x:v>
      </x:c>
      <x:c r="J158">
        <x:v>0</x:v>
      </x:c>
      <x:c r="K158" s="3">
        <x:f t="shared" si="7"/>
        <x:v>0.666666666666667</x:v>
      </x:c>
      <x:c r="L158" s="3">
        <x:f t="shared" si="8"/>
        <x:v>0</x:v>
      </x:c>
      <x:c r="M158" t="s">
        <x:v>130</x:v>
      </x:c>
    </x:row>
    <x:row r="159">
      <x:c r="A159" t="s">
        <x:v>122</x:v>
      </x:c>
      <x:c r="B159" t="s">
        <x:v>8</x:v>
      </x:c>
      <x:c r="C159" t="s">
        <x:v>11</x:v>
      </x:c>
      <x:c r="D159" t="s">
        <x:v>47</x:v>
      </x:c>
      <x:c r="E159">
        <x:v>3</x:v>
      </x:c>
      <x:c r="F159" s="3" t="e">
        <x:f>E159/全局统计!$B$4</x:f>
        <x:v>#NAME?</x:v>
      </x:c>
      <x:c r="G159" s="3">
        <x:f t="shared" si="6"/>
        <x:v>0.0106007067137809</x:v>
      </x:c>
      <x:c r="H159">
        <x:v>1</x:v>
      </x:c>
      <x:c r="I159">
        <x:v>2</x:v>
      </x:c>
      <x:c r="J159">
        <x:v>0</x:v>
      </x:c>
      <x:c r="K159" s="3">
        <x:f t="shared" si="7"/>
        <x:v>0.333333333333333</x:v>
      </x:c>
      <x:c r="L159" s="3">
        <x:f t="shared" si="8"/>
        <x:v>0</x:v>
      </x:c>
      <x:c r="M159" t="s">
        <x:v>131</x:v>
      </x:c>
    </x:row>
    <x:row r="160">
      <x:c r="A160" t="s">
        <x:v>122</x:v>
      </x:c>
      <x:c r="B160" t="s">
        <x:v>8</x:v>
      </x:c>
      <x:c r="C160" t="s">
        <x:v>55</x:v>
      </x:c>
      <x:c r="D160" t="s">
        <x:v>51</x:v>
      </x:c>
      <x:c r="E160">
        <x:v>3</x:v>
      </x:c>
      <x:c r="F160" s="3" t="e">
        <x:f>E160/全局统计!$B$4</x:f>
        <x:v>#NAME?</x:v>
      </x:c>
      <x:c r="G160" s="3">
        <x:f t="shared" si="6"/>
        <x:v>0.0106007067137809</x:v>
      </x:c>
      <x:c r="H160">
        <x:v>3</x:v>
      </x:c>
      <x:c r="I160">
        <x:v>0</x:v>
      </x:c>
      <x:c r="J160">
        <x:v>0</x:v>
      </x:c>
      <x:c r="K160" s="3">
        <x:f t="shared" si="7"/>
        <x:v>1</x:v>
      </x:c>
      <x:c r="L160" s="3">
        <x:f t="shared" si="8"/>
        <x:v>0</x:v>
      </x:c>
      <x:c r="M160" t="s">
        <x:v>130</x:v>
      </x:c>
    </x:row>
    <x:row r="161">
      <x:c r="A161" t="s">
        <x:v>123</x:v>
      </x:c>
      <x:c r="B161" t="s">
        <x:v>28</x:v>
      </x:c>
      <x:c r="C161" t="s">
        <x:v>27</x:v>
      </x:c>
      <x:c r="D161" t="s">
        <x:v>111</x:v>
      </x:c>
      <x:c r="E161">
        <x:v>3</x:v>
      </x:c>
      <x:c r="F161" s="3" t="e">
        <x:f>E161/全局统计!$B$4</x:f>
        <x:v>#NAME?</x:v>
      </x:c>
      <x:c r="G161" s="3">
        <x:f t="shared" si="6"/>
        <x:v>0.0069284064665127</x:v>
      </x:c>
      <x:c r="H161">
        <x:v>3</x:v>
      </x:c>
      <x:c r="I161">
        <x:v>0</x:v>
      </x:c>
      <x:c r="J161">
        <x:v>0</x:v>
      </x:c>
      <x:c r="K161" s="3">
        <x:f t="shared" si="7"/>
        <x:v>1</x:v>
      </x:c>
      <x:c r="L161" s="3">
        <x:f t="shared" si="8"/>
        <x:v>0</x:v>
      </x:c>
      <x:c r="M161" t="s">
        <x:v>130</x:v>
      </x:c>
    </x:row>
    <x:row r="162">
      <x:c r="A162" t="s">
        <x:v>123</x:v>
      </x:c>
      <x:c r="B162" t="s">
        <x:v>8</x:v>
      </x:c>
      <x:c r="C162" t="s">
        <x:v>14</x:v>
      </x:c>
      <x:c r="D162" t="s">
        <x:v>51</x:v>
      </x:c>
      <x:c r="E162">
        <x:v>3</x:v>
      </x:c>
      <x:c r="F162" s="3" t="e">
        <x:f>E162/全局统计!$B$4</x:f>
        <x:v>#NAME?</x:v>
      </x:c>
      <x:c r="G162" s="3">
        <x:f t="shared" si="6"/>
        <x:v>0.0069284064665127</x:v>
      </x:c>
      <x:c r="H162">
        <x:v>3</x:v>
      </x:c>
      <x:c r="I162">
        <x:v>0</x:v>
      </x:c>
      <x:c r="J162">
        <x:v>0</x:v>
      </x:c>
      <x:c r="K162" s="3">
        <x:f t="shared" si="7"/>
        <x:v>1</x:v>
      </x:c>
      <x:c r="L162" s="3">
        <x:f t="shared" si="8"/>
        <x:v>0</x:v>
      </x:c>
      <x:c r="M162" t="s">
        <x:v>130</x:v>
      </x:c>
    </x:row>
    <x:row r="163">
      <x:c r="A163" t="s">
        <x:v>123</x:v>
      </x:c>
      <x:c r="B163" t="s">
        <x:v>8</x:v>
      </x:c>
      <x:c r="C163" t="s">
        <x:v>17</x:v>
      </x:c>
      <x:c r="D163" t="s">
        <x:v>47</x:v>
      </x:c>
      <x:c r="E163">
        <x:v>3</x:v>
      </x:c>
      <x:c r="F163" s="3" t="e">
        <x:f>E163/全局统计!$B$4</x:f>
        <x:v>#NAME?</x:v>
      </x:c>
      <x:c r="G163" s="3">
        <x:f t="shared" si="6"/>
        <x:v>0.0069284064665127</x:v>
      </x:c>
      <x:c r="H163">
        <x:v>2</x:v>
      </x:c>
      <x:c r="I163">
        <x:v>1</x:v>
      </x:c>
      <x:c r="J163">
        <x:v>0</x:v>
      </x:c>
      <x:c r="K163" s="3">
        <x:f t="shared" si="7"/>
        <x:v>0.666666666666667</x:v>
      </x:c>
      <x:c r="L163" s="3">
        <x:f t="shared" si="8"/>
        <x:v>0</x:v>
      </x:c>
      <x:c r="M163" t="s">
        <x:v>130</x:v>
      </x:c>
    </x:row>
    <x:row r="164">
      <x:c r="A164" t="s">
        <x:v>118</x:v>
      </x:c>
      <x:c r="B164" t="s">
        <x:v>28</x:v>
      </x:c>
      <x:c r="C164" t="s">
        <x:v>27</x:v>
      </x:c>
      <x:c r="D164" t="s">
        <x:v>111</x:v>
      </x:c>
      <x:c r="E164">
        <x:v>2</x:v>
      </x:c>
      <x:c r="F164" s="3" t="e">
        <x:f>E164/全局统计!$B$4</x:f>
        <x:v>#NAME?</x:v>
      </x:c>
      <x:c r="G164" s="3">
        <x:f t="shared" si="6"/>
        <x:v>0.03125</x:v>
      </x:c>
      <x:c r="H164">
        <x:v>2</x:v>
      </x:c>
      <x:c r="I164">
        <x:v>0</x:v>
      </x:c>
      <x:c r="J164">
        <x:v>0</x:v>
      </x:c>
      <x:c r="K164" s="3">
        <x:f t="shared" si="7"/>
        <x:v>1</x:v>
      </x:c>
      <x:c r="L164" s="3">
        <x:f t="shared" si="8"/>
        <x:v>0</x:v>
      </x:c>
      <x:c r="M164" t="s">
        <x:v>130</x:v>
      </x:c>
    </x:row>
    <x:row r="165">
      <x:c r="A165" t="s">
        <x:v>118</x:v>
      </x:c>
      <x:c r="B165" t="s">
        <x:v>28</x:v>
      </x:c>
      <x:c r="C165" t="s">
        <x:v>27</x:v>
      </x:c>
      <x:c r="D165" t="s">
        <x:v>47</x:v>
      </x:c>
      <x:c r="E165">
        <x:v>2</x:v>
      </x:c>
      <x:c r="F165" s="3" t="e">
        <x:f>E165/全局统计!$B$4</x:f>
        <x:v>#NAME?</x:v>
      </x:c>
      <x:c r="G165" s="3">
        <x:f t="shared" si="6"/>
        <x:v>0.03125</x:v>
      </x:c>
      <x:c r="H165">
        <x:v>2</x:v>
      </x:c>
      <x:c r="I165">
        <x:v>0</x:v>
      </x:c>
      <x:c r="J165">
        <x:v>0</x:v>
      </x:c>
      <x:c r="K165" s="3">
        <x:f t="shared" si="7"/>
        <x:v>1</x:v>
      </x:c>
      <x:c r="L165" s="3">
        <x:f t="shared" si="8"/>
        <x:v>0</x:v>
      </x:c>
      <x:c r="M165" t="s">
        <x:v>130</x:v>
      </x:c>
    </x:row>
    <x:row r="166">
      <x:c r="A166" t="s">
        <x:v>118</x:v>
      </x:c>
      <x:c r="B166" t="s">
        <x:v>8</x:v>
      </x:c>
      <x:c r="C166" t="s">
        <x:v>14</x:v>
      </x:c>
      <x:c r="D166" t="s">
        <x:v>56</x:v>
      </x:c>
      <x:c r="E166">
        <x:v>2</x:v>
      </x:c>
      <x:c r="F166" s="3" t="e">
        <x:f>E166/全局统计!$B$4</x:f>
        <x:v>#NAME?</x:v>
      </x:c>
      <x:c r="G166" s="3">
        <x:f t="shared" si="6"/>
        <x:v>0.03125</x:v>
      </x:c>
      <x:c r="H166">
        <x:v>0</x:v>
      </x:c>
      <x:c r="I166">
        <x:v>2</x:v>
      </x:c>
      <x:c r="J166">
        <x:v>0</x:v>
      </x:c>
      <x:c r="K166" s="3">
        <x:f t="shared" si="7"/>
        <x:v>0</x:v>
      </x:c>
      <x:c r="L166" s="3">
        <x:f t="shared" si="8"/>
        <x:v>0</x:v>
      </x:c>
      <x:c r="M166" t="s">
        <x:v>131</x:v>
      </x:c>
    </x:row>
    <x:row r="167">
      <x:c r="A167" t="s">
        <x:v>118</x:v>
      </x:c>
      <x:c r="B167" t="s">
        <x:v>8</x:v>
      </x:c>
      <x:c r="C167" t="s">
        <x:v>7</x:v>
      </x:c>
      <x:c r="D167" t="s">
        <x:v>111</x:v>
      </x:c>
      <x:c r="E167">
        <x:v>2</x:v>
      </x:c>
      <x:c r="F167" s="3" t="e">
        <x:f>E167/全局统计!$B$4</x:f>
        <x:v>#NAME?</x:v>
      </x:c>
      <x:c r="G167" s="3">
        <x:f t="shared" si="6"/>
        <x:v>0.03125</x:v>
      </x:c>
      <x:c r="H167">
        <x:v>0</x:v>
      </x:c>
      <x:c r="I167">
        <x:v>1</x:v>
      </x:c>
      <x:c r="J167">
        <x:v>1</x:v>
      </x:c>
      <x:c r="K167" s="3">
        <x:f t="shared" si="7"/>
        <x:v>0</x:v>
      </x:c>
      <x:c r="L167" s="3">
        <x:f t="shared" si="8"/>
        <x:v>0.5</x:v>
      </x:c>
      <x:c r="M167" t="s">
        <x:v>131</x:v>
      </x:c>
    </x:row>
    <x:row r="168">
      <x:c r="A168" t="s">
        <x:v>118</x:v>
      </x:c>
      <x:c r="B168" t="s">
        <x:v>8</x:v>
      </x:c>
      <x:c r="C168" t="s">
        <x:v>7</x:v>
      </x:c>
      <x:c r="D168" t="s">
        <x:v>64</x:v>
      </x:c>
      <x:c r="E168">
        <x:v>2</x:v>
      </x:c>
      <x:c r="F168" s="3" t="e">
        <x:f>E168/全局统计!$B$4</x:f>
        <x:v>#NAME?</x:v>
      </x:c>
      <x:c r="G168" s="3">
        <x:f t="shared" si="6"/>
        <x:v>0.03125</x:v>
      </x:c>
      <x:c r="H168">
        <x:v>2</x:v>
      </x:c>
      <x:c r="I168">
        <x:v>0</x:v>
      </x:c>
      <x:c r="J168">
        <x:v>0</x:v>
      </x:c>
      <x:c r="K168" s="3">
        <x:f t="shared" si="7"/>
        <x:v>1</x:v>
      </x:c>
      <x:c r="L168" s="3">
        <x:f t="shared" si="8"/>
        <x:v>0</x:v>
      </x:c>
      <x:c r="M168" t="s">
        <x:v>130</x:v>
      </x:c>
    </x:row>
    <x:row r="169">
      <x:c r="A169" t="s">
        <x:v>118</x:v>
      </x:c>
      <x:c r="B169" t="s">
        <x:v>8</x:v>
      </x:c>
      <x:c r="C169" t="s">
        <x:v>55</x:v>
      </x:c>
      <x:c r="D169" t="s">
        <x:v>64</x:v>
      </x:c>
      <x:c r="E169">
        <x:v>2</x:v>
      </x:c>
      <x:c r="F169" s="3" t="e">
        <x:f>E169/全局统计!$B$4</x:f>
        <x:v>#NAME?</x:v>
      </x:c>
      <x:c r="G169" s="3">
        <x:f t="shared" si="6"/>
        <x:v>0.03125</x:v>
      </x:c>
      <x:c r="H169">
        <x:v>2</x:v>
      </x:c>
      <x:c r="I169">
        <x:v>0</x:v>
      </x:c>
      <x:c r="J169">
        <x:v>0</x:v>
      </x:c>
      <x:c r="K169" s="3">
        <x:f t="shared" si="7"/>
        <x:v>1</x:v>
      </x:c>
      <x:c r="L169" s="3">
        <x:f t="shared" si="8"/>
        <x:v>0</x:v>
      </x:c>
      <x:c r="M169" t="s">
        <x:v>130</x:v>
      </x:c>
    </x:row>
    <x:row r="170">
      <x:c r="A170" t="s">
        <x:v>119</x:v>
      </x:c>
      <x:c r="B170" t="s">
        <x:v>8</x:v>
      </x:c>
      <x:c r="C170" t="s">
        <x:v>17</x:v>
      </x:c>
      <x:c r="D170" t="s">
        <x:v>51</x:v>
      </x:c>
      <x:c r="E170">
        <x:v>2</x:v>
      </x:c>
      <x:c r="F170" s="3" t="e">
        <x:f>E170/全局统计!$B$4</x:f>
        <x:v>#NAME?</x:v>
      </x:c>
      <x:c r="G170" s="3">
        <x:f t="shared" si="6"/>
        <x:v>0.00947867298578199</x:v>
      </x:c>
      <x:c r="H170">
        <x:v>2</x:v>
      </x:c>
      <x:c r="I170">
        <x:v>0</x:v>
      </x:c>
      <x:c r="J170">
        <x:v>0</x:v>
      </x:c>
      <x:c r="K170" s="3">
        <x:f t="shared" si="7"/>
        <x:v>1</x:v>
      </x:c>
      <x:c r="L170" s="3">
        <x:f t="shared" si="8"/>
        <x:v>0</x:v>
      </x:c>
      <x:c r="M170" t="s">
        <x:v>130</x:v>
      </x:c>
    </x:row>
    <x:row r="171">
      <x:c r="A171" t="s">
        <x:v>119</x:v>
      </x:c>
      <x:c r="B171" t="s">
        <x:v>8</x:v>
      </x:c>
      <x:c r="C171" t="s">
        <x:v>68</x:v>
      </x:c>
      <x:c r="D171" t="s">
        <x:v>56</x:v>
      </x:c>
      <x:c r="E171">
        <x:v>2</x:v>
      </x:c>
      <x:c r="F171" s="3" t="e">
        <x:f>E171/全局统计!$B$4</x:f>
        <x:v>#NAME?</x:v>
      </x:c>
      <x:c r="G171" s="3">
        <x:f t="shared" si="6"/>
        <x:v>0.00947867298578199</x:v>
      </x:c>
      <x:c r="H171">
        <x:v>1</x:v>
      </x:c>
      <x:c r="I171">
        <x:v>1</x:v>
      </x:c>
      <x:c r="J171">
        <x:v>0</x:v>
      </x:c>
      <x:c r="K171" s="3">
        <x:f t="shared" si="7"/>
        <x:v>0.5</x:v>
      </x:c>
      <x:c r="L171" s="3">
        <x:f t="shared" si="8"/>
        <x:v>0</x:v>
      </x:c>
      <x:c r="M171" t="s">
        <x:v>130</x:v>
      </x:c>
    </x:row>
    <x:row r="172">
      <x:c r="A172" t="s">
        <x:v>119</x:v>
      </x:c>
      <x:c r="B172" t="s">
        <x:v>8</x:v>
      </x:c>
      <x:c r="C172" t="s">
        <x:v>11</x:v>
      </x:c>
      <x:c r="D172" t="s">
        <x:v>64</x:v>
      </x:c>
      <x:c r="E172">
        <x:v>2</x:v>
      </x:c>
      <x:c r="F172" s="3" t="e">
        <x:f>E172/全局统计!$B$4</x:f>
        <x:v>#NAME?</x:v>
      </x:c>
      <x:c r="G172" s="3">
        <x:f t="shared" si="6"/>
        <x:v>0.00947867298578199</x:v>
      </x:c>
      <x:c r="H172">
        <x:v>1</x:v>
      </x:c>
      <x:c r="I172">
        <x:v>1</x:v>
      </x:c>
      <x:c r="J172">
        <x:v>0</x:v>
      </x:c>
      <x:c r="K172" s="3">
        <x:f t="shared" si="7"/>
        <x:v>0.5</x:v>
      </x:c>
      <x:c r="L172" s="3">
        <x:f t="shared" si="8"/>
        <x:v>0</x:v>
      </x:c>
      <x:c r="M172" t="s">
        <x:v>130</x:v>
      </x:c>
    </x:row>
    <x:row r="173">
      <x:c r="A173" t="s">
        <x:v>119</x:v>
      </x:c>
      <x:c r="B173" t="s">
        <x:v>8</x:v>
      </x:c>
      <x:c r="C173" t="s">
        <x:v>55</x:v>
      </x:c>
      <x:c r="D173" t="s">
        <x:v>64</x:v>
      </x:c>
      <x:c r="E173">
        <x:v>2</x:v>
      </x:c>
      <x:c r="F173" s="3" t="e">
        <x:f>E173/全局统计!$B$4</x:f>
        <x:v>#NAME?</x:v>
      </x:c>
      <x:c r="G173" s="3">
        <x:f t="shared" si="6"/>
        <x:v>0.00947867298578199</x:v>
      </x:c>
      <x:c r="H173">
        <x:v>2</x:v>
      </x:c>
      <x:c r="I173">
        <x:v>0</x:v>
      </x:c>
      <x:c r="J173">
        <x:v>0</x:v>
      </x:c>
      <x:c r="K173" s="3">
        <x:f t="shared" si="7"/>
        <x:v>1</x:v>
      </x:c>
      <x:c r="L173" s="3">
        <x:f t="shared" si="8"/>
        <x:v>0</x:v>
      </x:c>
      <x:c r="M173" t="s">
        <x:v>130</x:v>
      </x:c>
    </x:row>
    <x:row r="174">
      <x:c r="A174" t="s">
        <x:v>120</x:v>
      </x:c>
      <x:c r="B174" t="s">
        <x:v>28</x:v>
      </x:c>
      <x:c r="C174" t="s">
        <x:v>27</x:v>
      </x:c>
      <x:c r="D174" t="s">
        <x:v>47</x:v>
      </x:c>
      <x:c r="E174">
        <x:v>2</x:v>
      </x:c>
      <x:c r="F174" s="3" t="e">
        <x:f>E174/全局统计!$B$4</x:f>
        <x:v>#NAME?</x:v>
      </x:c>
      <x:c r="G174" s="3">
        <x:f t="shared" si="6"/>
        <x:v>0.00641025641025641</x:v>
      </x:c>
      <x:c r="H174">
        <x:v>2</x:v>
      </x:c>
      <x:c r="I174">
        <x:v>0</x:v>
      </x:c>
      <x:c r="J174">
        <x:v>0</x:v>
      </x:c>
      <x:c r="K174" s="3">
        <x:f t="shared" si="7"/>
        <x:v>1</x:v>
      </x:c>
      <x:c r="L174" s="3">
        <x:f t="shared" si="8"/>
        <x:v>0</x:v>
      </x:c>
      <x:c r="M174" t="s">
        <x:v>130</x:v>
      </x:c>
    </x:row>
    <x:row r="175">
      <x:c r="A175" t="s">
        <x:v>120</x:v>
      </x:c>
      <x:c r="B175" t="s">
        <x:v>21</x:v>
      </x:c>
      <x:c r="C175" t="s">
        <x:v>24</x:v>
      </x:c>
      <x:c r="D175" t="s">
        <x:v>56</x:v>
      </x:c>
      <x:c r="E175">
        <x:v>2</x:v>
      </x:c>
      <x:c r="F175" s="3" t="e">
        <x:f>E175/全局统计!$B$4</x:f>
        <x:v>#NAME?</x:v>
      </x:c>
      <x:c r="G175" s="3">
        <x:f t="shared" si="6"/>
        <x:v>0.00641025641025641</x:v>
      </x:c>
      <x:c r="H175">
        <x:v>2</x:v>
      </x:c>
      <x:c r="I175">
        <x:v>0</x:v>
      </x:c>
      <x:c r="J175">
        <x:v>0</x:v>
      </x:c>
      <x:c r="K175" s="3">
        <x:f t="shared" si="7"/>
        <x:v>1</x:v>
      </x:c>
      <x:c r="L175" s="3">
        <x:f t="shared" si="8"/>
        <x:v>0</x:v>
      </x:c>
      <x:c r="M175" t="s">
        <x:v>130</x:v>
      </x:c>
    </x:row>
    <x:row r="176">
      <x:c r="A176" t="s">
        <x:v>120</x:v>
      </x:c>
      <x:c r="B176" t="s">
        <x:v>21</x:v>
      </x:c>
      <x:c r="C176" t="s">
        <x:v>20</x:v>
      </x:c>
      <x:c r="D176" t="s">
        <x:v>56</x:v>
      </x:c>
      <x:c r="E176">
        <x:v>2</x:v>
      </x:c>
      <x:c r="F176" s="3" t="e">
        <x:f>E176/全局统计!$B$4</x:f>
        <x:v>#NAME?</x:v>
      </x:c>
      <x:c r="G176" s="3">
        <x:f t="shared" si="6"/>
        <x:v>0.00641025641025641</x:v>
      </x:c>
      <x:c r="H176">
        <x:v>1</x:v>
      </x:c>
      <x:c r="I176">
        <x:v>1</x:v>
      </x:c>
      <x:c r="J176">
        <x:v>0</x:v>
      </x:c>
      <x:c r="K176" s="3">
        <x:f t="shared" si="7"/>
        <x:v>0.5</x:v>
      </x:c>
      <x:c r="L176" s="3">
        <x:f t="shared" si="8"/>
        <x:v>0</x:v>
      </x:c>
      <x:c r="M176" t="s">
        <x:v>130</x:v>
      </x:c>
    </x:row>
    <x:row r="177">
      <x:c r="A177" t="s">
        <x:v>120</x:v>
      </x:c>
      <x:c r="B177" t="s">
        <x:v>8</x:v>
      </x:c>
      <x:c r="C177" t="s">
        <x:v>7</x:v>
      </x:c>
      <x:c r="D177" t="s">
        <x:v>129</x:v>
      </x:c>
      <x:c r="E177">
        <x:v>2</x:v>
      </x:c>
      <x:c r="F177" s="3" t="e">
        <x:f>E177/全局统计!$B$4</x:f>
        <x:v>#NAME?</x:v>
      </x:c>
      <x:c r="G177" s="3">
        <x:f t="shared" si="6"/>
        <x:v>0.00641025641025641</x:v>
      </x:c>
      <x:c r="H177">
        <x:v>0</x:v>
      </x:c>
      <x:c r="I177">
        <x:v>2</x:v>
      </x:c>
      <x:c r="J177">
        <x:v>0</x:v>
      </x:c>
      <x:c r="K177" s="3">
        <x:f t="shared" si="7"/>
        <x:v>0</x:v>
      </x:c>
      <x:c r="L177" s="3">
        <x:f t="shared" si="8"/>
        <x:v>0</x:v>
      </x:c>
      <x:c r="M177" t="s">
        <x:v>131</x:v>
      </x:c>
    </x:row>
    <x:row r="178">
      <x:c r="A178" t="s">
        <x:v>120</x:v>
      </x:c>
      <x:c r="B178" t="s">
        <x:v>8</x:v>
      </x:c>
      <x:c r="C178" t="s">
        <x:v>17</x:v>
      </x:c>
      <x:c r="D178" t="s">
        <x:v>56</x:v>
      </x:c>
      <x:c r="E178">
        <x:v>2</x:v>
      </x:c>
      <x:c r="F178" s="3" t="e">
        <x:f>E178/全局统计!$B$4</x:f>
        <x:v>#NAME?</x:v>
      </x:c>
      <x:c r="G178" s="3">
        <x:f t="shared" si="6"/>
        <x:v>0.00641025641025641</x:v>
      </x:c>
      <x:c r="H178">
        <x:v>1</x:v>
      </x:c>
      <x:c r="I178">
        <x:v>1</x:v>
      </x:c>
      <x:c r="J178">
        <x:v>0</x:v>
      </x:c>
      <x:c r="K178" s="3">
        <x:f t="shared" si="7"/>
        <x:v>0.5</x:v>
      </x:c>
      <x:c r="L178" s="3">
        <x:f t="shared" si="8"/>
        <x:v>0</x:v>
      </x:c>
      <x:c r="M178" t="s">
        <x:v>130</x:v>
      </x:c>
    </x:row>
    <x:row r="179">
      <x:c r="A179" t="s">
        <x:v>120</x:v>
      </x:c>
      <x:c r="B179" t="s">
        <x:v>8</x:v>
      </x:c>
      <x:c r="C179" t="s">
        <x:v>11</x:v>
      </x:c>
      <x:c r="D179" t="s">
        <x:v>111</x:v>
      </x:c>
      <x:c r="E179">
        <x:v>2</x:v>
      </x:c>
      <x:c r="F179" s="3" t="e">
        <x:f>E179/全局统计!$B$4</x:f>
        <x:v>#NAME?</x:v>
      </x:c>
      <x:c r="G179" s="3">
        <x:f t="shared" si="6"/>
        <x:v>0.00641025641025641</x:v>
      </x:c>
      <x:c r="H179">
        <x:v>1</x:v>
      </x:c>
      <x:c r="I179">
        <x:v>1</x:v>
      </x:c>
      <x:c r="J179">
        <x:v>0</x:v>
      </x:c>
      <x:c r="K179" s="3">
        <x:f t="shared" si="7"/>
        <x:v>0.5</x:v>
      </x:c>
      <x:c r="L179" s="3">
        <x:f t="shared" si="8"/>
        <x:v>0</x:v>
      </x:c>
      <x:c r="M179" t="s">
        <x:v>130</x:v>
      </x:c>
    </x:row>
    <x:row r="180">
      <x:c r="A180" t="s">
        <x:v>129</x:v>
      </x:c>
      <x:c r="B180" t="s">
        <x:v>21</x:v>
      </x:c>
      <x:c r="C180" t="s">
        <x:v>24</x:v>
      </x:c>
      <x:c r="D180" t="s">
        <x:v>129</x:v>
      </x:c>
      <x:c r="E180">
        <x:v>2</x:v>
      </x:c>
      <x:c r="F180" s="3" t="e">
        <x:f>E180/全局统计!$B$4</x:f>
        <x:v>#NAME?</x:v>
      </x:c>
      <x:c r="G180" s="3">
        <x:f t="shared" si="6"/>
        <x:v>0.000850701829008932</x:v>
      </x:c>
      <x:c r="H180">
        <x:v>0</x:v>
      </x:c>
      <x:c r="I180">
        <x:v>2</x:v>
      </x:c>
      <x:c r="J180">
        <x:v>0</x:v>
      </x:c>
      <x:c r="K180" s="3">
        <x:f t="shared" si="7"/>
        <x:v>0</x:v>
      </x:c>
      <x:c r="L180" s="3">
        <x:f t="shared" si="8"/>
        <x:v>0</x:v>
      </x:c>
      <x:c r="M180" t="s">
        <x:v>131</x:v>
      </x:c>
    </x:row>
    <x:row r="181">
      <x:c r="A181" t="s">
        <x:v>129</x:v>
      </x:c>
      <x:c r="B181" t="s">
        <x:v>8</x:v>
      </x:c>
      <x:c r="C181" t="s">
        <x:v>17</x:v>
      </x:c>
      <x:c r="D181" t="s">
        <x:v>51</x:v>
      </x:c>
      <x:c r="E181">
        <x:v>2</x:v>
      </x:c>
      <x:c r="F181" s="3" t="e">
        <x:f>E181/全局统计!$B$4</x:f>
        <x:v>#NAME?</x:v>
      </x:c>
      <x:c r="G181" s="3">
        <x:f t="shared" si="6"/>
        <x:v>0.000850701829008932</x:v>
      </x:c>
      <x:c r="H181">
        <x:v>1</x:v>
      </x:c>
      <x:c r="I181">
        <x:v>1</x:v>
      </x:c>
      <x:c r="J181">
        <x:v>0</x:v>
      </x:c>
      <x:c r="K181" s="3">
        <x:f t="shared" si="7"/>
        <x:v>0.5</x:v>
      </x:c>
      <x:c r="L181" s="3">
        <x:f t="shared" si="8"/>
        <x:v>0</x:v>
      </x:c>
      <x:c r="M181" t="s">
        <x:v>130</x:v>
      </x:c>
    </x:row>
    <x:row r="182">
      <x:c r="A182" t="s">
        <x:v>129</x:v>
      </x:c>
      <x:c r="B182" t="s">
        <x:v>8</x:v>
      </x:c>
      <x:c r="C182" t="s">
        <x:v>55</x:v>
      </x:c>
      <x:c r="D182" t="s">
        <x:v>129</x:v>
      </x:c>
      <x:c r="E182">
        <x:v>2</x:v>
      </x:c>
      <x:c r="F182" s="3" t="e">
        <x:f>E182/全局统计!$B$4</x:f>
        <x:v>#NAME?</x:v>
      </x:c>
      <x:c r="G182" s="3">
        <x:f t="shared" si="6"/>
        <x:v>0.000850701829008932</x:v>
      </x:c>
      <x:c r="H182">
        <x:v>0</x:v>
      </x:c>
      <x:c r="I182">
        <x:v>2</x:v>
      </x:c>
      <x:c r="J182">
        <x:v>0</x:v>
      </x:c>
      <x:c r="K182" s="3">
        <x:f t="shared" si="7"/>
        <x:v>0</x:v>
      </x:c>
      <x:c r="L182" s="3">
        <x:f t="shared" si="8"/>
        <x:v>0</x:v>
      </x:c>
      <x:c r="M182" t="s">
        <x:v>131</x:v>
      </x:c>
    </x:row>
    <x:row r="183">
      <x:c r="A183" t="s">
        <x:v>121</x:v>
      </x:c>
      <x:c r="B183" t="s">
        <x:v>21</x:v>
      </x:c>
      <x:c r="C183" t="s">
        <x:v>20</x:v>
      </x:c>
      <x:c r="D183" t="s">
        <x:v>64</x:v>
      </x:c>
      <x:c r="E183">
        <x:v>2</x:v>
      </x:c>
      <x:c r="F183" s="3" t="e">
        <x:f>E183/全局统计!$B$4</x:f>
        <x:v>#NAME?</x:v>
      </x:c>
      <x:c r="G183" s="3">
        <x:f t="shared" si="6"/>
        <x:v>0.00182982616651418</x:v>
      </x:c>
      <x:c r="H183">
        <x:v>1</x:v>
      </x:c>
      <x:c r="I183">
        <x:v>1</x:v>
      </x:c>
      <x:c r="J183">
        <x:v>0</x:v>
      </x:c>
      <x:c r="K183" s="3">
        <x:f t="shared" si="7"/>
        <x:v>0.5</x:v>
      </x:c>
      <x:c r="L183" s="3">
        <x:f t="shared" si="8"/>
        <x:v>0</x:v>
      </x:c>
      <x:c r="M183" t="s">
        <x:v>130</x:v>
      </x:c>
    </x:row>
    <x:row r="184">
      <x:c r="A184" t="s">
        <x:v>121</x:v>
      </x:c>
      <x:c r="B184" t="s">
        <x:v>8</x:v>
      </x:c>
      <x:c r="C184" t="s">
        <x:v>68</x:v>
      </x:c>
      <x:c r="D184" t="s">
        <x:v>51</x:v>
      </x:c>
      <x:c r="E184">
        <x:v>2</x:v>
      </x:c>
      <x:c r="F184" s="3" t="e">
        <x:f>E184/全局统计!$B$4</x:f>
        <x:v>#NAME?</x:v>
      </x:c>
      <x:c r="G184" s="3">
        <x:f t="shared" si="6"/>
        <x:v>0.00182982616651418</x:v>
      </x:c>
      <x:c r="H184">
        <x:v>2</x:v>
      </x:c>
      <x:c r="I184">
        <x:v>0</x:v>
      </x:c>
      <x:c r="J184">
        <x:v>0</x:v>
      </x:c>
      <x:c r="K184" s="3">
        <x:f t="shared" si="7"/>
        <x:v>1</x:v>
      </x:c>
      <x:c r="L184" s="3">
        <x:f t="shared" si="8"/>
        <x:v>0</x:v>
      </x:c>
      <x:c r="M184" t="s">
        <x:v>130</x:v>
      </x:c>
    </x:row>
    <x:row r="185">
      <x:c r="A185" t="s">
        <x:v>122</x:v>
      </x:c>
      <x:c r="B185" t="s">
        <x:v>21</x:v>
      </x:c>
      <x:c r="C185" t="s">
        <x:v>24</x:v>
      </x:c>
      <x:c r="D185" t="s">
        <x:v>56</x:v>
      </x:c>
      <x:c r="E185">
        <x:v>2</x:v>
      </x:c>
      <x:c r="F185" s="3" t="e">
        <x:f>E185/全局统计!$B$4</x:f>
        <x:v>#NAME?</x:v>
      </x:c>
      <x:c r="G185" s="3">
        <x:f t="shared" si="6"/>
        <x:v>0.00706713780918728</x:v>
      </x:c>
      <x:c r="H185">
        <x:v>1</x:v>
      </x:c>
      <x:c r="I185">
        <x:v>1</x:v>
      </x:c>
      <x:c r="J185">
        <x:v>0</x:v>
      </x:c>
      <x:c r="K185" s="3">
        <x:f t="shared" si="7"/>
        <x:v>0.5</x:v>
      </x:c>
      <x:c r="L185" s="3">
        <x:f t="shared" si="8"/>
        <x:v>0</x:v>
      </x:c>
      <x:c r="M185" t="s">
        <x:v>130</x:v>
      </x:c>
    </x:row>
    <x:row r="186">
      <x:c r="A186" t="s">
        <x:v>122</x:v>
      </x:c>
      <x:c r="B186" t="s">
        <x:v>8</x:v>
      </x:c>
      <x:c r="C186" t="s">
        <x:v>17</x:v>
      </x:c>
      <x:c r="D186" t="s">
        <x:v>56</x:v>
      </x:c>
      <x:c r="E186">
        <x:v>2</x:v>
      </x:c>
      <x:c r="F186" s="3" t="e">
        <x:f>E186/全局统计!$B$4</x:f>
        <x:v>#NAME?</x:v>
      </x:c>
      <x:c r="G186" s="3">
        <x:f t="shared" si="6"/>
        <x:v>0.00706713780918728</x:v>
      </x:c>
      <x:c r="H186">
        <x:v>1</x:v>
      </x:c>
      <x:c r="I186">
        <x:v>1</x:v>
      </x:c>
      <x:c r="J186">
        <x:v>0</x:v>
      </x:c>
      <x:c r="K186" s="3">
        <x:f t="shared" si="7"/>
        <x:v>0.5</x:v>
      </x:c>
      <x:c r="L186" s="3">
        <x:f t="shared" si="8"/>
        <x:v>0</x:v>
      </x:c>
      <x:c r="M186" t="s">
        <x:v>130</x:v>
      </x:c>
    </x:row>
    <x:row r="187">
      <x:c r="A187" t="s">
        <x:v>122</x:v>
      </x:c>
      <x:c r="B187" t="s">
        <x:v>8</x:v>
      </x:c>
      <x:c r="C187" t="s">
        <x:v>68</x:v>
      </x:c>
      <x:c r="D187" t="s">
        <x:v>64</x:v>
      </x:c>
      <x:c r="E187">
        <x:v>2</x:v>
      </x:c>
      <x:c r="F187" s="3" t="e">
        <x:f>E187/全局统计!$B$4</x:f>
        <x:v>#NAME?</x:v>
      </x:c>
      <x:c r="G187" s="3">
        <x:f t="shared" si="6"/>
        <x:v>0.00706713780918728</x:v>
      </x:c>
      <x:c r="H187">
        <x:v>0</x:v>
      </x:c>
      <x:c r="I187">
        <x:v>2</x:v>
      </x:c>
      <x:c r="J187">
        <x:v>0</x:v>
      </x:c>
      <x:c r="K187" s="3">
        <x:f t="shared" si="7"/>
        <x:v>0</x:v>
      </x:c>
      <x:c r="L187" s="3">
        <x:f t="shared" si="8"/>
        <x:v>0</x:v>
      </x:c>
      <x:c r="M187" t="s">
        <x:v>131</x:v>
      </x:c>
    </x:row>
    <x:row r="188">
      <x:c r="A188" t="s">
        <x:v>123</x:v>
      </x:c>
      <x:c r="B188" t="s">
        <x:v>21</x:v>
      </x:c>
      <x:c r="C188" t="s">
        <x:v>24</x:v>
      </x:c>
      <x:c r="D188" t="s">
        <x:v>51</x:v>
      </x:c>
      <x:c r="E188">
        <x:v>2</x:v>
      </x:c>
      <x:c r="F188" s="3" t="e">
        <x:f>E188/全局统计!$B$4</x:f>
        <x:v>#NAME?</x:v>
      </x:c>
      <x:c r="G188" s="3">
        <x:f t="shared" si="6"/>
        <x:v>0.0046189376443418</x:v>
      </x:c>
      <x:c r="H188">
        <x:v>2</x:v>
      </x:c>
      <x:c r="I188">
        <x:v>0</x:v>
      </x:c>
      <x:c r="J188">
        <x:v>0</x:v>
      </x:c>
      <x:c r="K188" s="3">
        <x:f t="shared" si="7"/>
        <x:v>1</x:v>
      </x:c>
      <x:c r="L188" s="3">
        <x:f t="shared" si="8"/>
        <x:v>0</x:v>
      </x:c>
      <x:c r="M188" t="s">
        <x:v>130</x:v>
      </x:c>
    </x:row>
    <x:row r="189">
      <x:c r="A189" t="s">
        <x:v>123</x:v>
      </x:c>
      <x:c r="B189" t="s">
        <x:v>8</x:v>
      </x:c>
      <x:c r="C189" t="s">
        <x:v>68</x:v>
      </x:c>
      <x:c r="D189" t="s">
        <x:v>51</x:v>
      </x:c>
      <x:c r="E189">
        <x:v>2</x:v>
      </x:c>
      <x:c r="F189" s="3" t="e">
        <x:f>E189/全局统计!$B$4</x:f>
        <x:v>#NAME?</x:v>
      </x:c>
      <x:c r="G189" s="3">
        <x:f t="shared" si="6"/>
        <x:v>0.0046189376443418</x:v>
      </x:c>
      <x:c r="H189">
        <x:v>1</x:v>
      </x:c>
      <x:c r="I189">
        <x:v>1</x:v>
      </x:c>
      <x:c r="J189">
        <x:v>0</x:v>
      </x:c>
      <x:c r="K189" s="3">
        <x:f t="shared" si="7"/>
        <x:v>0.5</x:v>
      </x:c>
      <x:c r="L189" s="3">
        <x:f t="shared" si="8"/>
        <x:v>0</x:v>
      </x:c>
      <x:c r="M189" t="s">
        <x:v>130</x:v>
      </x:c>
    </x:row>
    <x:row r="190">
      <x:c r="A190" t="s">
        <x:v>123</x:v>
      </x:c>
      <x:c r="B190" t="s">
        <x:v>8</x:v>
      </x:c>
      <x:c r="C190" t="s">
        <x:v>68</x:v>
      </x:c>
      <x:c r="D190" t="s">
        <x:v>64</x:v>
      </x:c>
      <x:c r="E190">
        <x:v>2</x:v>
      </x:c>
      <x:c r="F190" s="3" t="e">
        <x:f>E190/全局统计!$B$4</x:f>
        <x:v>#NAME?</x:v>
      </x:c>
      <x:c r="G190" s="3">
        <x:f t="shared" si="6"/>
        <x:v>0.0046189376443418</x:v>
      </x:c>
      <x:c r="H190">
        <x:v>2</x:v>
      </x:c>
      <x:c r="I190">
        <x:v>0</x:v>
      </x:c>
      <x:c r="J190">
        <x:v>0</x:v>
      </x:c>
      <x:c r="K190" s="3">
        <x:f t="shared" si="7"/>
        <x:v>1</x:v>
      </x:c>
      <x:c r="L190" s="3">
        <x:f t="shared" si="8"/>
        <x:v>0</x:v>
      </x:c>
      <x:c r="M190" t="s">
        <x:v>130</x:v>
      </x:c>
    </x:row>
    <x:row r="191">
      <x:c r="A191" t="s">
        <x:v>123</x:v>
      </x:c>
      <x:c r="B191" t="s">
        <x:v>8</x:v>
      </x:c>
      <x:c r="C191" t="s">
        <x:v>11</x:v>
      </x:c>
      <x:c r="D191" t="s">
        <x:v>56</x:v>
      </x:c>
      <x:c r="E191">
        <x:v>2</x:v>
      </x:c>
      <x:c r="F191" s="3" t="e">
        <x:f>E191/全局统计!$B$4</x:f>
        <x:v>#NAME?</x:v>
      </x:c>
      <x:c r="G191" s="3">
        <x:f t="shared" si="6"/>
        <x:v>0.0046189376443418</x:v>
      </x:c>
      <x:c r="H191">
        <x:v>0</x:v>
      </x:c>
      <x:c r="I191">
        <x:v>2</x:v>
      </x:c>
      <x:c r="J191">
        <x:v>0</x:v>
      </x:c>
      <x:c r="K191" s="3">
        <x:f t="shared" si="7"/>
        <x:v>0</x:v>
      </x:c>
      <x:c r="L191" s="3">
        <x:f t="shared" si="8"/>
        <x:v>0</x:v>
      </x:c>
      <x:c r="M191" t="s">
        <x:v>131</x:v>
      </x:c>
    </x:row>
    <x:row r="192">
      <x:c r="A192" t="s">
        <x:v>118</x:v>
      </x:c>
      <x:c r="B192" t="s">
        <x:v>28</x:v>
      </x:c>
      <x:c r="C192" t="s">
        <x:v>27</x:v>
      </x:c>
      <x:c r="D192" t="s">
        <x:v>129</x:v>
      </x:c>
      <x:c r="E192">
        <x:v>1</x:v>
      </x:c>
      <x:c r="F192" s="3" t="e">
        <x:f>E192/全局统计!$B$4</x:f>
        <x:v>#NAME?</x:v>
      </x:c>
      <x:c r="G192" s="3">
        <x:f t="shared" si="6"/>
        <x:v>0.015625</x:v>
      </x:c>
      <x:c r="H192">
        <x:v>0</x:v>
      </x:c>
      <x:c r="I192">
        <x:v>1</x:v>
      </x:c>
      <x:c r="J192">
        <x:v>0</x:v>
      </x:c>
      <x:c r="K192" s="3">
        <x:f t="shared" si="7"/>
        <x:v>0</x:v>
      </x:c>
      <x:c r="L192" s="3">
        <x:f t="shared" si="8"/>
        <x:v>0</x:v>
      </x:c>
      <x:c r="M192" t="s">
        <x:v>131</x:v>
      </x:c>
    </x:row>
    <x:row r="193">
      <x:c r="A193" t="s">
        <x:v>118</x:v>
      </x:c>
      <x:c r="B193" t="s">
        <x:v>8</x:v>
      </x:c>
      <x:c r="C193" t="s">
        <x:v>14</x:v>
      </x:c>
      <x:c r="D193" t="s">
        <x:v>64</x:v>
      </x:c>
      <x:c r="E193">
        <x:v>1</x:v>
      </x:c>
      <x:c r="F193" s="3" t="e">
        <x:f>E193/全局统计!$B$4</x:f>
        <x:v>#NAME?</x:v>
      </x:c>
      <x:c r="G193" s="3">
        <x:f t="shared" si="6"/>
        <x:v>0.015625</x:v>
      </x:c>
      <x:c r="H193">
        <x:v>1</x:v>
      </x:c>
      <x:c r="I193">
        <x:v>0</x:v>
      </x:c>
      <x:c r="J193">
        <x:v>0</x:v>
      </x:c>
      <x:c r="K193" s="3">
        <x:f t="shared" si="7"/>
        <x:v>1</x:v>
      </x:c>
      <x:c r="L193" s="3">
        <x:f t="shared" si="8"/>
        <x:v>0</x:v>
      </x:c>
      <x:c r="M193" t="s">
        <x:v>130</x:v>
      </x:c>
    </x:row>
    <x:row r="194">
      <x:c r="A194" t="s">
        <x:v>118</x:v>
      </x:c>
      <x:c r="B194" t="s">
        <x:v>8</x:v>
      </x:c>
      <x:c r="C194" t="s">
        <x:v>7</x:v>
      </x:c>
      <x:c r="D194" t="s">
        <x:v>132</x:v>
      </x:c>
      <x:c r="E194">
        <x:v>1</x:v>
      </x:c>
      <x:c r="F194" s="3" t="e">
        <x:f>E194/全局统计!$B$4</x:f>
        <x:v>#NAME?</x:v>
      </x:c>
      <x:c r="G194" s="3">
        <x:f t="shared" si="6"/>
        <x:v>0.015625</x:v>
      </x:c>
      <x:c r="H194">
        <x:v>1</x:v>
      </x:c>
      <x:c r="I194">
        <x:v>0</x:v>
      </x:c>
      <x:c r="J194">
        <x:v>0</x:v>
      </x:c>
      <x:c r="K194" s="3">
        <x:f t="shared" si="7"/>
        <x:v>1</x:v>
      </x:c>
      <x:c r="L194" s="3">
        <x:f t="shared" si="8"/>
        <x:v>0</x:v>
      </x:c>
      <x:c r="M194" t="s">
        <x:v>130</x:v>
      </x:c>
    </x:row>
    <x:row r="195">
      <x:c r="A195" t="s">
        <x:v>118</x:v>
      </x:c>
      <x:c r="B195" t="s">
        <x:v>8</x:v>
      </x:c>
      <x:c r="C195" t="s">
        <x:v>7</x:v>
      </x:c>
      <x:c r="D195" t="s">
        <x:v>56</x:v>
      </x:c>
      <x:c r="E195">
        <x:v>1</x:v>
      </x:c>
      <x:c r="F195" s="3" t="e">
        <x:f>E195/全局统计!$B$4</x:f>
        <x:v>#NAME?</x:v>
      </x:c>
      <x:c r="G195" s="3">
        <x:f t="shared" si="6"/>
        <x:v>0.015625</x:v>
      </x:c>
      <x:c r="H195">
        <x:v>0</x:v>
      </x:c>
      <x:c r="I195">
        <x:v>1</x:v>
      </x:c>
      <x:c r="J195">
        <x:v>0</x:v>
      </x:c>
      <x:c r="K195" s="3">
        <x:f t="shared" si="7"/>
        <x:v>0</x:v>
      </x:c>
      <x:c r="L195" s="3">
        <x:f t="shared" si="8"/>
        <x:v>0</x:v>
      </x:c>
      <x:c r="M195" t="s">
        <x:v>131</x:v>
      </x:c>
    </x:row>
    <x:row r="196">
      <x:c r="A196" t="s">
        <x:v>118</x:v>
      </x:c>
      <x:c r="B196" t="s">
        <x:v>8</x:v>
      </x:c>
      <x:c r="C196" t="s">
        <x:v>17</x:v>
      </x:c>
      <x:c r="D196" t="s">
        <x:v>64</x:v>
      </x:c>
      <x:c r="E196">
        <x:v>1</x:v>
      </x:c>
      <x:c r="F196" s="3" t="e">
        <x:f>E196/全局统计!$B$4</x:f>
        <x:v>#NAME?</x:v>
      </x:c>
      <x:c r="G196" s="3" t="n">
        <x:f t="shared" ref="G196:G256" si="9">E196/SUMIFS($E:$E,$A:$A,$A196)</x:f>
        <x:v>0.015625</x:v>
      </x:c>
      <x:c r="H196">
        <x:v>1</x:v>
      </x:c>
      <x:c r="I196">
        <x:v>0</x:v>
      </x:c>
      <x:c r="J196">
        <x:v>0</x:v>
      </x:c>
      <x:c r="K196" s="3" t="n">
        <x:f t="shared" ref="K196:K256" si="10">H196/E196</x:f>
        <x:v>1</x:v>
      </x:c>
      <x:c r="L196" s="3" t="n">
        <x:f t="shared" ref="L196:L256" si="11">J196/E196</x:f>
        <x:v>0</x:v>
      </x:c>
      <x:c r="M196" t="s">
        <x:v>130</x:v>
      </x:c>
    </x:row>
    <x:row r="197">
      <x:c r="A197" t="s">
        <x:v>118</x:v>
      </x:c>
      <x:c r="B197" t="s">
        <x:v>8</x:v>
      </x:c>
      <x:c r="C197" t="s">
        <x:v>68</x:v>
      </x:c>
      <x:c r="D197" t="s">
        <x:v>47</x:v>
      </x:c>
      <x:c r="E197">
        <x:v>1</x:v>
      </x:c>
      <x:c r="F197" s="3" t="e">
        <x:f>E197/全局统计!$B$4</x:f>
        <x:v>#NAME?</x:v>
      </x:c>
      <x:c r="G197" s="3">
        <x:f t="shared" si="9"/>
        <x:v>0.015625</x:v>
      </x:c>
      <x:c r="H197">
        <x:v>1</x:v>
      </x:c>
      <x:c r="I197">
        <x:v>0</x:v>
      </x:c>
      <x:c r="J197">
        <x:v>0</x:v>
      </x:c>
      <x:c r="K197" s="3">
        <x:f t="shared" si="10"/>
        <x:v>1</x:v>
      </x:c>
      <x:c r="L197" s="3">
        <x:f t="shared" si="11"/>
        <x:v>0</x:v>
      </x:c>
      <x:c r="M197" t="s">
        <x:v>130</x:v>
      </x:c>
    </x:row>
    <x:row r="198">
      <x:c r="A198" t="s">
        <x:v>118</x:v>
      </x:c>
      <x:c r="B198" t="s">
        <x:v>8</x:v>
      </x:c>
      <x:c r="C198" t="s">
        <x:v>11</x:v>
      </x:c>
      <x:c r="D198" t="s">
        <x:v>132</x:v>
      </x:c>
      <x:c r="E198">
        <x:v>1</x:v>
      </x:c>
      <x:c r="F198" s="3" t="e">
        <x:f>E198/全局统计!$B$4</x:f>
        <x:v>#NAME?</x:v>
      </x:c>
      <x:c r="G198" s="3">
        <x:f t="shared" si="9"/>
        <x:v>0.015625</x:v>
      </x:c>
      <x:c r="H198">
        <x:v>1</x:v>
      </x:c>
      <x:c r="I198">
        <x:v>0</x:v>
      </x:c>
      <x:c r="J198">
        <x:v>0</x:v>
      </x:c>
      <x:c r="K198" s="3">
        <x:f t="shared" si="10"/>
        <x:v>1</x:v>
      </x:c>
      <x:c r="L198" s="3">
        <x:f t="shared" si="11"/>
        <x:v>0</x:v>
      </x:c>
      <x:c r="M198" t="s">
        <x:v>130</x:v>
      </x:c>
    </x:row>
    <x:row r="199">
      <x:c r="A199" t="s">
        <x:v>118</x:v>
      </x:c>
      <x:c r="B199" t="s">
        <x:v>8</x:v>
      </x:c>
      <x:c r="C199" t="s">
        <x:v>11</x:v>
      </x:c>
      <x:c r="D199" t="s">
        <x:v>51</x:v>
      </x:c>
      <x:c r="E199">
        <x:v>1</x:v>
      </x:c>
      <x:c r="F199" s="3" t="e">
        <x:f>E199/全局统计!$B$4</x:f>
        <x:v>#NAME?</x:v>
      </x:c>
      <x:c r="G199" s="3">
        <x:f t="shared" si="9"/>
        <x:v>0.015625</x:v>
      </x:c>
      <x:c r="H199">
        <x:v>1</x:v>
      </x:c>
      <x:c r="I199">
        <x:v>0</x:v>
      </x:c>
      <x:c r="J199">
        <x:v>0</x:v>
      </x:c>
      <x:c r="K199" s="3">
        <x:f t="shared" si="10"/>
        <x:v>1</x:v>
      </x:c>
      <x:c r="L199" s="3">
        <x:f t="shared" si="11"/>
        <x:v>0</x:v>
      </x:c>
      <x:c r="M199" t="s">
        <x:v>130</x:v>
      </x:c>
    </x:row>
    <x:row r="200">
      <x:c r="A200" t="s">
        <x:v>119</x:v>
      </x:c>
      <x:c r="B200" t="s">
        <x:v>21</x:v>
      </x:c>
      <x:c r="C200" t="s">
        <x:v>24</x:v>
      </x:c>
      <x:c r="D200" t="s">
        <x:v>51</x:v>
      </x:c>
      <x:c r="E200">
        <x:v>1</x:v>
      </x:c>
      <x:c r="F200" s="3" t="e">
        <x:f>E200/全局统计!$B$4</x:f>
        <x:v>#NAME?</x:v>
      </x:c>
      <x:c r="G200" s="3">
        <x:f t="shared" si="9"/>
        <x:v>0.004739336492891</x:v>
      </x:c>
      <x:c r="H200">
        <x:v>1</x:v>
      </x:c>
      <x:c r="I200">
        <x:v>0</x:v>
      </x:c>
      <x:c r="J200">
        <x:v>0</x:v>
      </x:c>
      <x:c r="K200" s="3">
        <x:f t="shared" si="10"/>
        <x:v>1</x:v>
      </x:c>
      <x:c r="L200" s="3">
        <x:f t="shared" si="11"/>
        <x:v>0</x:v>
      </x:c>
      <x:c r="M200" t="s">
        <x:v>130</x:v>
      </x:c>
    </x:row>
    <x:row r="201">
      <x:c r="A201" t="s">
        <x:v>119</x:v>
      </x:c>
      <x:c r="B201" t="s">
        <x:v>21</x:v>
      </x:c>
      <x:c r="C201" t="s">
        <x:v>24</x:v>
      </x:c>
      <x:c r="D201" t="s">
        <x:v>56</x:v>
      </x:c>
      <x:c r="E201">
        <x:v>1</x:v>
      </x:c>
      <x:c r="F201" s="3" t="e">
        <x:f>E201/全局统计!$B$4</x:f>
        <x:v>#NAME?</x:v>
      </x:c>
      <x:c r="G201" s="3">
        <x:f t="shared" si="9"/>
        <x:v>0.004739336492891</x:v>
      </x:c>
      <x:c r="H201">
        <x:v>0</x:v>
      </x:c>
      <x:c r="I201">
        <x:v>1</x:v>
      </x:c>
      <x:c r="J201">
        <x:v>0</x:v>
      </x:c>
      <x:c r="K201" s="3">
        <x:f t="shared" si="10"/>
        <x:v>0</x:v>
      </x:c>
      <x:c r="L201" s="3">
        <x:f t="shared" si="11"/>
        <x:v>0</x:v>
      </x:c>
      <x:c r="M201" t="s">
        <x:v>131</x:v>
      </x:c>
    </x:row>
    <x:row r="202">
      <x:c r="A202" t="s">
        <x:v>119</x:v>
      </x:c>
      <x:c r="B202" t="s">
        <x:v>8</x:v>
      </x:c>
      <x:c r="C202" t="s">
        <x:v>7</x:v>
      </x:c>
      <x:c r="D202" t="s">
        <x:v>56</x:v>
      </x:c>
      <x:c r="E202">
        <x:v>1</x:v>
      </x:c>
      <x:c r="F202" s="3" t="e">
        <x:f>E202/全局统计!$B$4</x:f>
        <x:v>#NAME?</x:v>
      </x:c>
      <x:c r="G202" s="3">
        <x:f t="shared" si="9"/>
        <x:v>0.004739336492891</x:v>
      </x:c>
      <x:c r="H202">
        <x:v>0</x:v>
      </x:c>
      <x:c r="I202">
        <x:v>1</x:v>
      </x:c>
      <x:c r="J202">
        <x:v>0</x:v>
      </x:c>
      <x:c r="K202" s="3">
        <x:f t="shared" si="10"/>
        <x:v>0</x:v>
      </x:c>
      <x:c r="L202" s="3">
        <x:f t="shared" si="11"/>
        <x:v>0</x:v>
      </x:c>
      <x:c r="M202" t="s">
        <x:v>131</x:v>
      </x:c>
    </x:row>
    <x:row r="203">
      <x:c r="A203" t="s">
        <x:v>119</x:v>
      </x:c>
      <x:c r="B203" t="s">
        <x:v>8</x:v>
      </x:c>
      <x:c r="C203" t="s">
        <x:v>17</x:v>
      </x:c>
      <x:c r="D203" t="s">
        <x:v>129</x:v>
      </x:c>
      <x:c r="E203">
        <x:v>1</x:v>
      </x:c>
      <x:c r="F203" s="3" t="e">
        <x:f>E203/全局统计!$B$4</x:f>
        <x:v>#NAME?</x:v>
      </x:c>
      <x:c r="G203" s="3">
        <x:f t="shared" si="9"/>
        <x:v>0.004739336492891</x:v>
      </x:c>
      <x:c r="H203">
        <x:v>0</x:v>
      </x:c>
      <x:c r="I203">
        <x:v>1</x:v>
      </x:c>
      <x:c r="J203">
        <x:v>0</x:v>
      </x:c>
      <x:c r="K203" s="3">
        <x:f t="shared" si="10"/>
        <x:v>0</x:v>
      </x:c>
      <x:c r="L203" s="3">
        <x:f t="shared" si="11"/>
        <x:v>0</x:v>
      </x:c>
      <x:c r="M203" t="s">
        <x:v>131</x:v>
      </x:c>
    </x:row>
    <x:row r="204">
      <x:c r="A204" t="s">
        <x:v>119</x:v>
      </x:c>
      <x:c r="B204" t="s">
        <x:v>8</x:v>
      </x:c>
      <x:c r="C204" t="s">
        <x:v>17</x:v>
      </x:c>
      <x:c r="D204" t="s">
        <x:v>56</x:v>
      </x:c>
      <x:c r="E204">
        <x:v>1</x:v>
      </x:c>
      <x:c r="F204" s="3" t="e">
        <x:f>E204/全局统计!$B$4</x:f>
        <x:v>#NAME?</x:v>
      </x:c>
      <x:c r="G204" s="3">
        <x:f t="shared" si="9"/>
        <x:v>0.004739336492891</x:v>
      </x:c>
      <x:c r="H204">
        <x:v>0</x:v>
      </x:c>
      <x:c r="I204">
        <x:v>1</x:v>
      </x:c>
      <x:c r="J204">
        <x:v>0</x:v>
      </x:c>
      <x:c r="K204" s="3">
        <x:f t="shared" si="10"/>
        <x:v>0</x:v>
      </x:c>
      <x:c r="L204" s="3">
        <x:f t="shared" si="11"/>
        <x:v>0</x:v>
      </x:c>
      <x:c r="M204" t="s">
        <x:v>131</x:v>
      </x:c>
    </x:row>
    <x:row r="205">
      <x:c r="A205" t="s">
        <x:v>119</x:v>
      </x:c>
      <x:c r="B205" t="s">
        <x:v>8</x:v>
      </x:c>
      <x:c r="C205" t="s">
        <x:v>68</x:v>
      </x:c>
      <x:c r="D205" t="s">
        <x:v>64</x:v>
      </x:c>
      <x:c r="E205">
        <x:v>1</x:v>
      </x:c>
      <x:c r="F205" s="3" t="e">
        <x:f>E205/全局统计!$B$4</x:f>
        <x:v>#NAME?</x:v>
      </x:c>
      <x:c r="G205" s="3">
        <x:f t="shared" si="9"/>
        <x:v>0.004739336492891</x:v>
      </x:c>
      <x:c r="H205">
        <x:v>1</x:v>
      </x:c>
      <x:c r="I205">
        <x:v>0</x:v>
      </x:c>
      <x:c r="J205">
        <x:v>0</x:v>
      </x:c>
      <x:c r="K205" s="3">
        <x:f t="shared" si="10"/>
        <x:v>1</x:v>
      </x:c>
      <x:c r="L205" s="3">
        <x:f t="shared" si="11"/>
        <x:v>0</x:v>
      </x:c>
      <x:c r="M205" t="s">
        <x:v>130</x:v>
      </x:c>
    </x:row>
    <x:row r="206">
      <x:c r="A206" t="s">
        <x:v>119</x:v>
      </x:c>
      <x:c r="B206" t="s">
        <x:v>8</x:v>
      </x:c>
      <x:c r="C206" t="s">
        <x:v>11</x:v>
      </x:c>
      <x:c r="D206" t="s">
        <x:v>51</x:v>
      </x:c>
      <x:c r="E206">
        <x:v>1</x:v>
      </x:c>
      <x:c r="F206" s="3" t="e">
        <x:f>E206/全局统计!$B$4</x:f>
        <x:v>#NAME?</x:v>
      </x:c>
      <x:c r="G206" s="3">
        <x:f t="shared" si="9"/>
        <x:v>0.004739336492891</x:v>
      </x:c>
      <x:c r="H206">
        <x:v>0</x:v>
      </x:c>
      <x:c r="I206">
        <x:v>1</x:v>
      </x:c>
      <x:c r="J206">
        <x:v>0</x:v>
      </x:c>
      <x:c r="K206" s="3">
        <x:f t="shared" si="10"/>
        <x:v>0</x:v>
      </x:c>
      <x:c r="L206" s="3">
        <x:f t="shared" si="11"/>
        <x:v>0</x:v>
      </x:c>
      <x:c r="M206" t="s">
        <x:v>131</x:v>
      </x:c>
    </x:row>
    <x:row r="207">
      <x:c r="A207" t="s">
        <x:v>119</x:v>
      </x:c>
      <x:c r="B207" t="s">
        <x:v>8</x:v>
      </x:c>
      <x:c r="C207" t="s">
        <x:v>55</x:v>
      </x:c>
      <x:c r="D207" t="s">
        <x:v>51</x:v>
      </x:c>
      <x:c r="E207">
        <x:v>1</x:v>
      </x:c>
      <x:c r="F207" s="3" t="e">
        <x:f>E207/全局统计!$B$4</x:f>
        <x:v>#NAME?</x:v>
      </x:c>
      <x:c r="G207" s="3">
        <x:f t="shared" si="9"/>
        <x:v>0.004739336492891</x:v>
      </x:c>
      <x:c r="H207">
        <x:v>1</x:v>
      </x:c>
      <x:c r="I207">
        <x:v>0</x:v>
      </x:c>
      <x:c r="J207">
        <x:v>0</x:v>
      </x:c>
      <x:c r="K207" s="3">
        <x:f t="shared" si="10"/>
        <x:v>1</x:v>
      </x:c>
      <x:c r="L207" s="3">
        <x:f t="shared" si="11"/>
        <x:v>0</x:v>
      </x:c>
      <x:c r="M207" t="s">
        <x:v>130</x:v>
      </x:c>
    </x:row>
    <x:row r="208">
      <x:c r="A208" t="s">
        <x:v>119</x:v>
      </x:c>
      <x:c r="B208" t="s">
        <x:v>8</x:v>
      </x:c>
      <x:c r="C208" t="s">
        <x:v>55</x:v>
      </x:c>
      <x:c r="D208" t="s">
        <x:v>56</x:v>
      </x:c>
      <x:c r="E208">
        <x:v>1</x:v>
      </x:c>
      <x:c r="F208" s="3" t="e">
        <x:f>E208/全局统计!$B$4</x:f>
        <x:v>#NAME?</x:v>
      </x:c>
      <x:c r="G208" s="3">
        <x:f t="shared" si="9"/>
        <x:v>0.004739336492891</x:v>
      </x:c>
      <x:c r="H208">
        <x:v>0</x:v>
      </x:c>
      <x:c r="I208">
        <x:v>1</x:v>
      </x:c>
      <x:c r="J208">
        <x:v>0</x:v>
      </x:c>
      <x:c r="K208" s="3">
        <x:f t="shared" si="10"/>
        <x:v>0</x:v>
      </x:c>
      <x:c r="L208" s="3">
        <x:f t="shared" si="11"/>
        <x:v>0</x:v>
      </x:c>
      <x:c r="M208" t="s">
        <x:v>131</x:v>
      </x:c>
    </x:row>
    <x:row r="209">
      <x:c r="A209" t="s">
        <x:v>120</x:v>
      </x:c>
      <x:c r="B209" t="s">
        <x:v>28</x:v>
      </x:c>
      <x:c r="C209" t="s">
        <x:v>27</x:v>
      </x:c>
      <x:c r="D209" t="s">
        <x:v>56</x:v>
      </x:c>
      <x:c r="E209">
        <x:v>1</x:v>
      </x:c>
      <x:c r="F209" s="3" t="e">
        <x:f>E209/全局统计!$B$4</x:f>
        <x:v>#NAME?</x:v>
      </x:c>
      <x:c r="G209" s="3">
        <x:f t="shared" si="9"/>
        <x:v>0.00320512820512821</x:v>
      </x:c>
      <x:c r="H209">
        <x:v>1</x:v>
      </x:c>
      <x:c r="I209">
        <x:v>0</x:v>
      </x:c>
      <x:c r="J209">
        <x:v>0</x:v>
      </x:c>
      <x:c r="K209" s="3">
        <x:f t="shared" si="10"/>
        <x:v>1</x:v>
      </x:c>
      <x:c r="L209" s="3">
        <x:f t="shared" si="11"/>
        <x:v>0</x:v>
      </x:c>
      <x:c r="M209" t="s">
        <x:v>130</x:v>
      </x:c>
    </x:row>
    <x:row r="210">
      <x:c r="A210" t="s">
        <x:v>120</x:v>
      </x:c>
      <x:c r="B210" t="s">
        <x:v>21</x:v>
      </x:c>
      <x:c r="C210" t="s">
        <x:v>24</x:v>
      </x:c>
      <x:c r="D210" t="s">
        <x:v>47</x:v>
      </x:c>
      <x:c r="E210">
        <x:v>1</x:v>
      </x:c>
      <x:c r="F210" s="3" t="e">
        <x:f>E210/全局统计!$B$4</x:f>
        <x:v>#NAME?</x:v>
      </x:c>
      <x:c r="G210" s="3">
        <x:f t="shared" si="9"/>
        <x:v>0.00320512820512821</x:v>
      </x:c>
      <x:c r="H210">
        <x:v>0</x:v>
      </x:c>
      <x:c r="I210">
        <x:v>1</x:v>
      </x:c>
      <x:c r="J210">
        <x:v>0</x:v>
      </x:c>
      <x:c r="K210" s="3">
        <x:f t="shared" si="10"/>
        <x:v>0</x:v>
      </x:c>
      <x:c r="L210" s="3">
        <x:f t="shared" si="11"/>
        <x:v>0</x:v>
      </x:c>
      <x:c r="M210" t="s">
        <x:v>131</x:v>
      </x:c>
    </x:row>
    <x:row r="211">
      <x:c r="A211" t="s">
        <x:v>120</x:v>
      </x:c>
      <x:c r="B211" t="s">
        <x:v>8</x:v>
      </x:c>
      <x:c r="C211" t="s">
        <x:v>14</x:v>
      </x:c>
      <x:c r="D211" t="s">
        <x:v>132</x:v>
      </x:c>
      <x:c r="E211">
        <x:v>1</x:v>
      </x:c>
      <x:c r="F211" s="3" t="e">
        <x:f>E211/全局统计!$B$4</x:f>
        <x:v>#NAME?</x:v>
      </x:c>
      <x:c r="G211" s="3">
        <x:f t="shared" si="9"/>
        <x:v>0.00320512820512821</x:v>
      </x:c>
      <x:c r="H211">
        <x:v>1</x:v>
      </x:c>
      <x:c r="I211">
        <x:v>0</x:v>
      </x:c>
      <x:c r="J211">
        <x:v>0</x:v>
      </x:c>
      <x:c r="K211" s="3">
        <x:f t="shared" si="10"/>
        <x:v>1</x:v>
      </x:c>
      <x:c r="L211" s="3">
        <x:f t="shared" si="11"/>
        <x:v>0</x:v>
      </x:c>
      <x:c r="M211" t="s">
        <x:v>130</x:v>
      </x:c>
    </x:row>
    <x:row r="212">
      <x:c r="A212" t="s">
        <x:v>120</x:v>
      </x:c>
      <x:c r="B212" t="s">
        <x:v>8</x:v>
      </x:c>
      <x:c r="C212" t="s">
        <x:v>14</x:v>
      </x:c>
      <x:c r="D212" t="s">
        <x:v>51</x:v>
      </x:c>
      <x:c r="E212">
        <x:v>1</x:v>
      </x:c>
      <x:c r="F212" s="3" t="e">
        <x:f>E212/全局统计!$B$4</x:f>
        <x:v>#NAME?</x:v>
      </x:c>
      <x:c r="G212" s="3">
        <x:f t="shared" si="9"/>
        <x:v>0.00320512820512821</x:v>
      </x:c>
      <x:c r="H212">
        <x:v>1</x:v>
      </x:c>
      <x:c r="I212">
        <x:v>0</x:v>
      </x:c>
      <x:c r="J212">
        <x:v>0</x:v>
      </x:c>
      <x:c r="K212" s="3">
        <x:f t="shared" si="10"/>
        <x:v>1</x:v>
      </x:c>
      <x:c r="L212" s="3">
        <x:f t="shared" si="11"/>
        <x:v>0</x:v>
      </x:c>
      <x:c r="M212" t="s">
        <x:v>130</x:v>
      </x:c>
    </x:row>
    <x:row r="213">
      <x:c r="A213" t="s">
        <x:v>120</x:v>
      </x:c>
      <x:c r="B213" t="s">
        <x:v>8</x:v>
      </x:c>
      <x:c r="C213" t="s">
        <x:v>14</x:v>
      </x:c>
      <x:c r="D213" t="s">
        <x:v>64</x:v>
      </x:c>
      <x:c r="E213">
        <x:v>1</x:v>
      </x:c>
      <x:c r="F213" s="3" t="e">
        <x:f>E213/全局统计!$B$4</x:f>
        <x:v>#NAME?</x:v>
      </x:c>
      <x:c r="G213" s="3">
        <x:f t="shared" si="9"/>
        <x:v>0.00320512820512821</x:v>
      </x:c>
      <x:c r="H213">
        <x:v>0</x:v>
      </x:c>
      <x:c r="I213">
        <x:v>1</x:v>
      </x:c>
      <x:c r="J213">
        <x:v>0</x:v>
      </x:c>
      <x:c r="K213" s="3">
        <x:f t="shared" si="10"/>
        <x:v>0</x:v>
      </x:c>
      <x:c r="L213" s="3">
        <x:f t="shared" si="11"/>
        <x:v>0</x:v>
      </x:c>
      <x:c r="M213" t="s">
        <x:v>131</x:v>
      </x:c>
    </x:row>
    <x:row r="214">
      <x:c r="A214" t="s">
        <x:v>120</x:v>
      </x:c>
      <x:c r="B214" t="s">
        <x:v>8</x:v>
      </x:c>
      <x:c r="C214" t="s">
        <x:v>17</x:v>
      </x:c>
      <x:c r="D214" t="s">
        <x:v>51</x:v>
      </x:c>
      <x:c r="E214">
        <x:v>1</x:v>
      </x:c>
      <x:c r="F214" s="3" t="e">
        <x:f>E214/全局统计!$B$4</x:f>
        <x:v>#NAME?</x:v>
      </x:c>
      <x:c r="G214" s="3">
        <x:f t="shared" si="9"/>
        <x:v>0.00320512820512821</x:v>
      </x:c>
      <x:c r="H214">
        <x:v>0</x:v>
      </x:c>
      <x:c r="I214">
        <x:v>1</x:v>
      </x:c>
      <x:c r="J214">
        <x:v>0</x:v>
      </x:c>
      <x:c r="K214" s="3">
        <x:f t="shared" si="10"/>
        <x:v>0</x:v>
      </x:c>
      <x:c r="L214" s="3">
        <x:f t="shared" si="11"/>
        <x:v>0</x:v>
      </x:c>
      <x:c r="M214" t="s">
        <x:v>131</x:v>
      </x:c>
    </x:row>
    <x:row r="215">
      <x:c r="A215" t="s">
        <x:v>120</x:v>
      </x:c>
      <x:c r="B215" t="s">
        <x:v>8</x:v>
      </x:c>
      <x:c r="C215" t="s">
        <x:v>17</x:v>
      </x:c>
      <x:c r="D215" t="s">
        <x:v>47</x:v>
      </x:c>
      <x:c r="E215">
        <x:v>1</x:v>
      </x:c>
      <x:c r="F215" s="3" t="e">
        <x:f>E215/全局统计!$B$4</x:f>
        <x:v>#NAME?</x:v>
      </x:c>
      <x:c r="G215" s="3">
        <x:f t="shared" si="9"/>
        <x:v>0.00320512820512821</x:v>
      </x:c>
      <x:c r="H215">
        <x:v>0</x:v>
      </x:c>
      <x:c r="I215">
        <x:v>1</x:v>
      </x:c>
      <x:c r="J215">
        <x:v>0</x:v>
      </x:c>
      <x:c r="K215" s="3">
        <x:f t="shared" si="10"/>
        <x:v>0</x:v>
      </x:c>
      <x:c r="L215" s="3">
        <x:f t="shared" si="11"/>
        <x:v>0</x:v>
      </x:c>
      <x:c r="M215" t="s">
        <x:v>131</x:v>
      </x:c>
    </x:row>
    <x:row r="216">
      <x:c r="A216" t="s">
        <x:v>120</x:v>
      </x:c>
      <x:c r="B216" t="s">
        <x:v>8</x:v>
      </x:c>
      <x:c r="C216" t="s">
        <x:v>68</x:v>
      </x:c>
      <x:c r="D216" t="s">
        <x:v>51</x:v>
      </x:c>
      <x:c r="E216">
        <x:v>1</x:v>
      </x:c>
      <x:c r="F216" s="3" t="e">
        <x:f>E216/全局统计!$B$4</x:f>
        <x:v>#NAME?</x:v>
      </x:c>
      <x:c r="G216" s="3">
        <x:f t="shared" si="9"/>
        <x:v>0.00320512820512821</x:v>
      </x:c>
      <x:c r="H216">
        <x:v>1</x:v>
      </x:c>
      <x:c r="I216">
        <x:v>0</x:v>
      </x:c>
      <x:c r="J216">
        <x:v>0</x:v>
      </x:c>
      <x:c r="K216" s="3">
        <x:f t="shared" si="10"/>
        <x:v>1</x:v>
      </x:c>
      <x:c r="L216" s="3">
        <x:f t="shared" si="11"/>
        <x:v>0</x:v>
      </x:c>
      <x:c r="M216" t="s">
        <x:v>130</x:v>
      </x:c>
    </x:row>
    <x:row r="217">
      <x:c r="A217" t="s">
        <x:v>120</x:v>
      </x:c>
      <x:c r="B217" t="s">
        <x:v>8</x:v>
      </x:c>
      <x:c r="C217" t="s">
        <x:v>68</x:v>
      </x:c>
      <x:c r="D217" t="s">
        <x:v>47</x:v>
      </x:c>
      <x:c r="E217">
        <x:v>1</x:v>
      </x:c>
      <x:c r="F217" s="3" t="e">
        <x:f>E217/全局统计!$B$4</x:f>
        <x:v>#NAME?</x:v>
      </x:c>
      <x:c r="G217" s="3">
        <x:f t="shared" si="9"/>
        <x:v>0.00320512820512821</x:v>
      </x:c>
      <x:c r="H217">
        <x:v>1</x:v>
      </x:c>
      <x:c r="I217">
        <x:v>0</x:v>
      </x:c>
      <x:c r="J217">
        <x:v>0</x:v>
      </x:c>
      <x:c r="K217" s="3">
        <x:f t="shared" si="10"/>
        <x:v>1</x:v>
      </x:c>
      <x:c r="L217" s="3">
        <x:f t="shared" si="11"/>
        <x:v>0</x:v>
      </x:c>
      <x:c r="M217" t="s">
        <x:v>130</x:v>
      </x:c>
    </x:row>
    <x:row r="218">
      <x:c r="A218" t="s">
        <x:v>120</x:v>
      </x:c>
      <x:c r="B218" t="s">
        <x:v>8</x:v>
      </x:c>
      <x:c r="C218" t="s">
        <x:v>11</x:v>
      </x:c>
      <x:c r="D218" t="s">
        <x:v>64</x:v>
      </x:c>
      <x:c r="E218">
        <x:v>1</x:v>
      </x:c>
      <x:c r="F218" s="3" t="e">
        <x:f>E218/全局统计!$B$4</x:f>
        <x:v>#NAME?</x:v>
      </x:c>
      <x:c r="G218" s="3">
        <x:f t="shared" si="9"/>
        <x:v>0.00320512820512821</x:v>
      </x:c>
      <x:c r="H218">
        <x:v>0</x:v>
      </x:c>
      <x:c r="I218">
        <x:v>1</x:v>
      </x:c>
      <x:c r="J218">
        <x:v>0</x:v>
      </x:c>
      <x:c r="K218" s="3">
        <x:f t="shared" si="10"/>
        <x:v>0</x:v>
      </x:c>
      <x:c r="L218" s="3">
        <x:f t="shared" si="11"/>
        <x:v>0</x:v>
      </x:c>
      <x:c r="M218" t="s">
        <x:v>131</x:v>
      </x:c>
    </x:row>
    <x:row r="219">
      <x:c r="A219" t="s">
        <x:v>129</x:v>
      </x:c>
      <x:c r="B219" t="s">
        <x:v>28</x:v>
      </x:c>
      <x:c r="C219" t="s">
        <x:v>27</x:v>
      </x:c>
      <x:c r="D219" t="s">
        <x:v>132</x:v>
      </x:c>
      <x:c r="E219">
        <x:v>1</x:v>
      </x:c>
      <x:c r="F219" s="3" t="e">
        <x:f>E219/全局统计!$B$4</x:f>
        <x:v>#NAME?</x:v>
      </x:c>
      <x:c r="G219" s="3">
        <x:f t="shared" si="9"/>
        <x:v>0.000425350914504466</x:v>
      </x:c>
      <x:c r="H219">
        <x:v>0</x:v>
      </x:c>
      <x:c r="I219">
        <x:v>1</x:v>
      </x:c>
      <x:c r="J219">
        <x:v>0</x:v>
      </x:c>
      <x:c r="K219" s="3">
        <x:f t="shared" si="10"/>
        <x:v>0</x:v>
      </x:c>
      <x:c r="L219" s="3">
        <x:f t="shared" si="11"/>
        <x:v>0</x:v>
      </x:c>
      <x:c r="M219" t="s">
        <x:v>131</x:v>
      </x:c>
    </x:row>
    <x:row r="220">
      <x:c r="A220" t="s">
        <x:v>129</x:v>
      </x:c>
      <x:c r="B220" t="s">
        <x:v>8</x:v>
      </x:c>
      <x:c r="C220" t="s">
        <x:v>17</x:v>
      </x:c>
      <x:c r="D220" t="s">
        <x:v>111</x:v>
      </x:c>
      <x:c r="E220">
        <x:v>1</x:v>
      </x:c>
      <x:c r="F220" s="3" t="e">
        <x:f>E220/全局统计!$B$4</x:f>
        <x:v>#NAME?</x:v>
      </x:c>
      <x:c r="G220" s="3">
        <x:f t="shared" si="9"/>
        <x:v>0.000425350914504466</x:v>
      </x:c>
      <x:c r="H220">
        <x:v>1</x:v>
      </x:c>
      <x:c r="I220">
        <x:v>0</x:v>
      </x:c>
      <x:c r="J220">
        <x:v>0</x:v>
      </x:c>
      <x:c r="K220" s="3">
        <x:f t="shared" si="10"/>
        <x:v>1</x:v>
      </x:c>
      <x:c r="L220" s="3">
        <x:f t="shared" si="11"/>
        <x:v>0</x:v>
      </x:c>
      <x:c r="M220" t="s">
        <x:v>130</x:v>
      </x:c>
    </x:row>
    <x:row r="221">
      <x:c r="A221" t="s">
        <x:v>129</x:v>
      </x:c>
      <x:c r="B221" t="s">
        <x:v>8</x:v>
      </x:c>
      <x:c r="C221" t="s">
        <x:v>68</x:v>
      </x:c>
      <x:c r="D221" t="s">
        <x:v>129</x:v>
      </x:c>
      <x:c r="E221">
        <x:v>1</x:v>
      </x:c>
      <x:c r="F221" s="3" t="e">
        <x:f>E221/全局统计!$B$4</x:f>
        <x:v>#NAME?</x:v>
      </x:c>
      <x:c r="G221" s="3">
        <x:f t="shared" si="9"/>
        <x:v>0.000425350914504466</x:v>
      </x:c>
      <x:c r="H221">
        <x:v>0</x:v>
      </x:c>
      <x:c r="I221">
        <x:v>1</x:v>
      </x:c>
      <x:c r="J221">
        <x:v>0</x:v>
      </x:c>
      <x:c r="K221" s="3">
        <x:f t="shared" si="10"/>
        <x:v>0</x:v>
      </x:c>
      <x:c r="L221" s="3">
        <x:f t="shared" si="11"/>
        <x:v>0</x:v>
      </x:c>
      <x:c r="M221" t="s">
        <x:v>131</x:v>
      </x:c>
    </x:row>
    <x:row r="222">
      <x:c r="A222" t="s">
        <x:v>129</x:v>
      </x:c>
      <x:c r="B222" t="s">
        <x:v>8</x:v>
      </x:c>
      <x:c r="C222" t="s">
        <x:v>11</x:v>
      </x:c>
      <x:c r="D222" t="s">
        <x:v>129</x:v>
      </x:c>
      <x:c r="E222">
        <x:v>1</x:v>
      </x:c>
      <x:c r="F222" s="3" t="e">
        <x:f>E222/全局统计!$B$4</x:f>
        <x:v>#NAME?</x:v>
      </x:c>
      <x:c r="G222" s="3">
        <x:f t="shared" si="9"/>
        <x:v>0.000425350914504466</x:v>
      </x:c>
      <x:c r="H222">
        <x:v>0</x:v>
      </x:c>
      <x:c r="I222">
        <x:v>1</x:v>
      </x:c>
      <x:c r="J222">
        <x:v>0</x:v>
      </x:c>
      <x:c r="K222" s="3">
        <x:f t="shared" si="10"/>
        <x:v>0</x:v>
      </x:c>
      <x:c r="L222" s="3">
        <x:f t="shared" si="11"/>
        <x:v>0</x:v>
      </x:c>
      <x:c r="M222" t="s">
        <x:v>131</x:v>
      </x:c>
    </x:row>
    <x:row r="223">
      <x:c r="A223" t="s">
        <x:v>129</x:v>
      </x:c>
      <x:c r="B223" t="s">
        <x:v>8</x:v>
      </x:c>
      <x:c r="C223" t="s">
        <x:v>55</x:v>
      </x:c>
      <x:c r="D223" t="s">
        <x:v>111</x:v>
      </x:c>
      <x:c r="E223">
        <x:v>1</x:v>
      </x:c>
      <x:c r="F223" s="3" t="e">
        <x:f>E223/全局统计!$B$4</x:f>
        <x:v>#NAME?</x:v>
      </x:c>
      <x:c r="G223" s="3">
        <x:f t="shared" si="9"/>
        <x:v>0.000425350914504466</x:v>
      </x:c>
      <x:c r="H223">
        <x:v>0</x:v>
      </x:c>
      <x:c r="I223">
        <x:v>1</x:v>
      </x:c>
      <x:c r="J223">
        <x:v>0</x:v>
      </x:c>
      <x:c r="K223" s="3">
        <x:f t="shared" si="10"/>
        <x:v>0</x:v>
      </x:c>
      <x:c r="L223" s="3">
        <x:f t="shared" si="11"/>
        <x:v>0</x:v>
      </x:c>
      <x:c r="M223" t="s">
        <x:v>131</x:v>
      </x:c>
    </x:row>
    <x:row r="224">
      <x:c r="A224" t="s">
        <x:v>121</x:v>
      </x:c>
      <x:c r="B224" t="s">
        <x:v>8</x:v>
      </x:c>
      <x:c r="C224" t="s">
        <x:v>14</x:v>
      </x:c>
      <x:c r="D224" t="s">
        <x:v>64</x:v>
      </x:c>
      <x:c r="E224">
        <x:v>1</x:v>
      </x:c>
      <x:c r="F224" s="3" t="e">
        <x:f>E224/全局统计!$B$4</x:f>
        <x:v>#NAME?</x:v>
      </x:c>
      <x:c r="G224" s="3">
        <x:f t="shared" si="9"/>
        <x:v>0.000914913083257091</x:v>
      </x:c>
      <x:c r="H224">
        <x:v>1</x:v>
      </x:c>
      <x:c r="I224">
        <x:v>0</x:v>
      </x:c>
      <x:c r="J224">
        <x:v>0</x:v>
      </x:c>
      <x:c r="K224" s="3">
        <x:f t="shared" si="10"/>
        <x:v>1</x:v>
      </x:c>
      <x:c r="L224" s="3">
        <x:f t="shared" si="11"/>
        <x:v>0</x:v>
      </x:c>
      <x:c r="M224" t="s">
        <x:v>130</x:v>
      </x:c>
    </x:row>
    <x:row r="225">
      <x:c r="A225" t="s">
        <x:v>121</x:v>
      </x:c>
      <x:c r="B225" t="s">
        <x:v>8</x:v>
      </x:c>
      <x:c r="C225" t="s">
        <x:v>14</x:v>
      </x:c>
      <x:c r="D225" t="s">
        <x:v>129</x:v>
      </x:c>
      <x:c r="E225">
        <x:v>1</x:v>
      </x:c>
      <x:c r="F225" s="3" t="e">
        <x:f>E225/全局统计!$B$4</x:f>
        <x:v>#NAME?</x:v>
      </x:c>
      <x:c r="G225" s="3">
        <x:f t="shared" si="9"/>
        <x:v>0.000914913083257091</x:v>
      </x:c>
      <x:c r="H225">
        <x:v>0</x:v>
      </x:c>
      <x:c r="I225">
        <x:v>1</x:v>
      </x:c>
      <x:c r="J225">
        <x:v>0</x:v>
      </x:c>
      <x:c r="K225" s="3">
        <x:f t="shared" si="10"/>
        <x:v>0</x:v>
      </x:c>
      <x:c r="L225" s="3">
        <x:f t="shared" si="11"/>
        <x:v>0</x:v>
      </x:c>
      <x:c r="M225" t="s">
        <x:v>131</x:v>
      </x:c>
    </x:row>
    <x:row r="226">
      <x:c r="A226" t="s">
        <x:v>121</x:v>
      </x:c>
      <x:c r="B226" t="s">
        <x:v>8</x:v>
      </x:c>
      <x:c r="C226" t="s">
        <x:v>7</x:v>
      </x:c>
      <x:c r="D226" t="s">
        <x:v>132</x:v>
      </x:c>
      <x:c r="E226">
        <x:v>1</x:v>
      </x:c>
      <x:c r="F226" s="3" t="e">
        <x:f>E226/全局统计!$B$4</x:f>
        <x:v>#NAME?</x:v>
      </x:c>
      <x:c r="G226" s="3">
        <x:f t="shared" si="9"/>
        <x:v>0.000914913083257091</x:v>
      </x:c>
      <x:c r="H226">
        <x:v>0</x:v>
      </x:c>
      <x:c r="I226">
        <x:v>1</x:v>
      </x:c>
      <x:c r="J226">
        <x:v>0</x:v>
      </x:c>
      <x:c r="K226" s="3">
        <x:f t="shared" si="10"/>
        <x:v>0</x:v>
      </x:c>
      <x:c r="L226" s="3">
        <x:f t="shared" si="11"/>
        <x:v>0</x:v>
      </x:c>
      <x:c r="M226" t="s">
        <x:v>131</x:v>
      </x:c>
    </x:row>
    <x:row r="227">
      <x:c r="A227" t="s">
        <x:v>121</x:v>
      </x:c>
      <x:c r="B227" t="s">
        <x:v>8</x:v>
      </x:c>
      <x:c r="C227" t="s">
        <x:v>17</x:v>
      </x:c>
      <x:c r="D227" t="s">
        <x:v>51</x:v>
      </x:c>
      <x:c r="E227">
        <x:v>1</x:v>
      </x:c>
      <x:c r="F227" s="3" t="e">
        <x:f>E227/全局统计!$B$4</x:f>
        <x:v>#NAME?</x:v>
      </x:c>
      <x:c r="G227" s="3">
        <x:f t="shared" si="9"/>
        <x:v>0.000914913083257091</x:v>
      </x:c>
      <x:c r="H227">
        <x:v>1</x:v>
      </x:c>
      <x:c r="I227">
        <x:v>0</x:v>
      </x:c>
      <x:c r="J227">
        <x:v>0</x:v>
      </x:c>
      <x:c r="K227" s="3">
        <x:f t="shared" si="10"/>
        <x:v>1</x:v>
      </x:c>
      <x:c r="L227" s="3">
        <x:f t="shared" si="11"/>
        <x:v>0</x:v>
      </x:c>
      <x:c r="M227" t="s">
        <x:v>130</x:v>
      </x:c>
    </x:row>
    <x:row r="228">
      <x:c r="A228" t="s">
        <x:v>121</x:v>
      </x:c>
      <x:c r="B228" t="s">
        <x:v>8</x:v>
      </x:c>
      <x:c r="C228" t="s">
        <x:v>17</x:v>
      </x:c>
      <x:c r="D228" t="s">
        <x:v>111</x:v>
      </x:c>
      <x:c r="E228">
        <x:v>1</x:v>
      </x:c>
      <x:c r="F228" s="3" t="e">
        <x:f>E228/全局统计!$B$4</x:f>
        <x:v>#NAME?</x:v>
      </x:c>
      <x:c r="G228" s="3">
        <x:f t="shared" si="9"/>
        <x:v>0.000914913083257091</x:v>
      </x:c>
      <x:c r="H228">
        <x:v>1</x:v>
      </x:c>
      <x:c r="I228">
        <x:v>0</x:v>
      </x:c>
      <x:c r="J228">
        <x:v>0</x:v>
      </x:c>
      <x:c r="K228" s="3">
        <x:f t="shared" si="10"/>
        <x:v>1</x:v>
      </x:c>
      <x:c r="L228" s="3">
        <x:f t="shared" si="11"/>
        <x:v>0</x:v>
      </x:c>
      <x:c r="M228" t="s">
        <x:v>130</x:v>
      </x:c>
    </x:row>
    <x:row r="229">
      <x:c r="A229" t="s">
        <x:v>121</x:v>
      </x:c>
      <x:c r="B229" t="s">
        <x:v>8</x:v>
      </x:c>
      <x:c r="C229" t="s">
        <x:v>17</x:v>
      </x:c>
      <x:c r="D229" t="s">
        <x:v>129</x:v>
      </x:c>
      <x:c r="E229">
        <x:v>1</x:v>
      </x:c>
      <x:c r="F229" s="3" t="e">
        <x:f>E229/全局统计!$B$4</x:f>
        <x:v>#NAME?</x:v>
      </x:c>
      <x:c r="G229" s="3">
        <x:f t="shared" si="9"/>
        <x:v>0.000914913083257091</x:v>
      </x:c>
      <x:c r="H229">
        <x:v>0</x:v>
      </x:c>
      <x:c r="I229">
        <x:v>1</x:v>
      </x:c>
      <x:c r="J229">
        <x:v>0</x:v>
      </x:c>
      <x:c r="K229" s="3">
        <x:f t="shared" si="10"/>
        <x:v>0</x:v>
      </x:c>
      <x:c r="L229" s="3">
        <x:f t="shared" si="11"/>
        <x:v>0</x:v>
      </x:c>
      <x:c r="M229" t="s">
        <x:v>131</x:v>
      </x:c>
    </x:row>
    <x:row r="230">
      <x:c r="A230" t="s">
        <x:v>121</x:v>
      </x:c>
      <x:c r="B230" t="s">
        <x:v>8</x:v>
      </x:c>
      <x:c r="C230" t="s">
        <x:v>68</x:v>
      </x:c>
      <x:c r="D230" t="s">
        <x:v>129</x:v>
      </x:c>
      <x:c r="E230">
        <x:v>1</x:v>
      </x:c>
      <x:c r="F230" s="3" t="e">
        <x:f>E230/全局统计!$B$4</x:f>
        <x:v>#NAME?</x:v>
      </x:c>
      <x:c r="G230" s="3">
        <x:f t="shared" si="9"/>
        <x:v>0.000914913083257091</x:v>
      </x:c>
      <x:c r="H230">
        <x:v>0</x:v>
      </x:c>
      <x:c r="I230">
        <x:v>1</x:v>
      </x:c>
      <x:c r="J230">
        <x:v>0</x:v>
      </x:c>
      <x:c r="K230" s="3">
        <x:f t="shared" si="10"/>
        <x:v>0</x:v>
      </x:c>
      <x:c r="L230" s="3">
        <x:f t="shared" si="11"/>
        <x:v>0</x:v>
      </x:c>
      <x:c r="M230" t="s">
        <x:v>131</x:v>
      </x:c>
    </x:row>
    <x:row r="231">
      <x:c r="A231" t="s">
        <x:v>121</x:v>
      </x:c>
      <x:c r="B231" t="s">
        <x:v>8</x:v>
      </x:c>
      <x:c r="C231" t="s">
        <x:v>11</x:v>
      </x:c>
      <x:c r="D231" t="s">
        <x:v>132</x:v>
      </x:c>
      <x:c r="E231">
        <x:v>1</x:v>
      </x:c>
      <x:c r="F231" s="3" t="e">
        <x:f>E231/全局统计!$B$4</x:f>
        <x:v>#NAME?</x:v>
      </x:c>
      <x:c r="G231" s="3">
        <x:f t="shared" si="9"/>
        <x:v>0.000914913083257091</x:v>
      </x:c>
      <x:c r="H231">
        <x:v>0</x:v>
      </x:c>
      <x:c r="I231">
        <x:v>1</x:v>
      </x:c>
      <x:c r="J231">
        <x:v>0</x:v>
      </x:c>
      <x:c r="K231" s="3">
        <x:f t="shared" si="10"/>
        <x:v>0</x:v>
      </x:c>
      <x:c r="L231" s="3">
        <x:f t="shared" si="11"/>
        <x:v>0</x:v>
      </x:c>
      <x:c r="M231" t="s">
        <x:v>131</x:v>
      </x:c>
    </x:row>
    <x:row r="232">
      <x:c r="A232" t="s">
        <x:v>121</x:v>
      </x:c>
      <x:c r="B232" t="s">
        <x:v>8</x:v>
      </x:c>
      <x:c r="C232" t="s">
        <x:v>55</x:v>
      </x:c>
      <x:c r="D232" t="s">
        <x:v>111</x:v>
      </x:c>
      <x:c r="E232">
        <x:v>1</x:v>
      </x:c>
      <x:c r="F232" s="3" t="e">
        <x:f>E232/全局统计!$B$4</x:f>
        <x:v>#NAME?</x:v>
      </x:c>
      <x:c r="G232" s="3">
        <x:f t="shared" si="9"/>
        <x:v>0.000914913083257091</x:v>
      </x:c>
      <x:c r="H232">
        <x:v>0</x:v>
      </x:c>
      <x:c r="I232">
        <x:v>1</x:v>
      </x:c>
      <x:c r="J232">
        <x:v>0</x:v>
      </x:c>
      <x:c r="K232" s="3">
        <x:f t="shared" si="10"/>
        <x:v>0</x:v>
      </x:c>
      <x:c r="L232" s="3">
        <x:f t="shared" si="11"/>
        <x:v>0</x:v>
      </x:c>
      <x:c r="M232" t="s">
        <x:v>131</x:v>
      </x:c>
    </x:row>
    <x:row r="233">
      <x:c r="A233" t="s">
        <x:v>122</x:v>
      </x:c>
      <x:c r="B233" t="s">
        <x:v>28</x:v>
      </x:c>
      <x:c r="C233" t="s">
        <x:v>27</x:v>
      </x:c>
      <x:c r="D233" t="s">
        <x:v>132</x:v>
      </x:c>
      <x:c r="E233">
        <x:v>1</x:v>
      </x:c>
      <x:c r="F233" s="3" t="e">
        <x:f>E233/全局统计!$B$4</x:f>
        <x:v>#NAME?</x:v>
      </x:c>
      <x:c r="G233" s="3">
        <x:f t="shared" si="9"/>
        <x:v>0.00353356890459364</x:v>
      </x:c>
      <x:c r="H233">
        <x:v>1</x:v>
      </x:c>
      <x:c r="I233">
        <x:v>0</x:v>
      </x:c>
      <x:c r="J233">
        <x:v>0</x:v>
      </x:c>
      <x:c r="K233" s="3">
        <x:f t="shared" si="10"/>
        <x:v>1</x:v>
      </x:c>
      <x:c r="L233" s="3">
        <x:f t="shared" si="11"/>
        <x:v>0</x:v>
      </x:c>
      <x:c r="M233" t="s">
        <x:v>130</x:v>
      </x:c>
    </x:row>
    <x:row r="234">
      <x:c r="A234" t="s">
        <x:v>122</x:v>
      </x:c>
      <x:c r="B234" t="s">
        <x:v>28</x:v>
      </x:c>
      <x:c r="C234" t="s">
        <x:v>27</x:v>
      </x:c>
      <x:c r="D234" t="s">
        <x:v>129</x:v>
      </x:c>
      <x:c r="E234">
        <x:v>1</x:v>
      </x:c>
      <x:c r="F234" s="3" t="e">
        <x:f>E234/全局统计!$B$4</x:f>
        <x:v>#NAME?</x:v>
      </x:c>
      <x:c r="G234" s="3">
        <x:f t="shared" si="9"/>
        <x:v>0.00353356890459364</x:v>
      </x:c>
      <x:c r="H234">
        <x:v>0</x:v>
      </x:c>
      <x:c r="I234">
        <x:v>1</x:v>
      </x:c>
      <x:c r="J234">
        <x:v>0</x:v>
      </x:c>
      <x:c r="K234" s="3">
        <x:f t="shared" si="10"/>
        <x:v>0</x:v>
      </x:c>
      <x:c r="L234" s="3">
        <x:f t="shared" si="11"/>
        <x:v>0</x:v>
      </x:c>
      <x:c r="M234" t="s">
        <x:v>131</x:v>
      </x:c>
    </x:row>
    <x:row r="235">
      <x:c r="A235" t="s">
        <x:v>122</x:v>
      </x:c>
      <x:c r="B235" t="s">
        <x:v>21</x:v>
      </x:c>
      <x:c r="C235" t="s">
        <x:v>24</x:v>
      </x:c>
      <x:c r="D235" t="s">
        <x:v>64</x:v>
      </x:c>
      <x:c r="E235">
        <x:v>1</x:v>
      </x:c>
      <x:c r="F235" s="3" t="e">
        <x:f>E235/全局统计!$B$4</x:f>
        <x:v>#NAME?</x:v>
      </x:c>
      <x:c r="G235" s="3">
        <x:f t="shared" si="9"/>
        <x:v>0.00353356890459364</x:v>
      </x:c>
      <x:c r="H235">
        <x:v>0</x:v>
      </x:c>
      <x:c r="I235">
        <x:v>1</x:v>
      </x:c>
      <x:c r="J235">
        <x:v>0</x:v>
      </x:c>
      <x:c r="K235" s="3">
        <x:f t="shared" si="10"/>
        <x:v>0</x:v>
      </x:c>
      <x:c r="L235" s="3">
        <x:f t="shared" si="11"/>
        <x:v>0</x:v>
      </x:c>
      <x:c r="M235" t="s">
        <x:v>131</x:v>
      </x:c>
    </x:row>
    <x:row r="236">
      <x:c r="A236" t="s">
        <x:v>122</x:v>
      </x:c>
      <x:c r="B236" t="s">
        <x:v>8</x:v>
      </x:c>
      <x:c r="C236" t="s">
        <x:v>14</x:v>
      </x:c>
      <x:c r="D236" t="s">
        <x:v>51</x:v>
      </x:c>
      <x:c r="E236">
        <x:v>1</x:v>
      </x:c>
      <x:c r="F236" s="3" t="e">
        <x:f>E236/全局统计!$B$4</x:f>
        <x:v>#NAME?</x:v>
      </x:c>
      <x:c r="G236" s="3">
        <x:f t="shared" si="9"/>
        <x:v>0.00353356890459364</x:v>
      </x:c>
      <x:c r="H236">
        <x:v>0</x:v>
      </x:c>
      <x:c r="I236">
        <x:v>1</x:v>
      </x:c>
      <x:c r="J236">
        <x:v>0</x:v>
      </x:c>
      <x:c r="K236" s="3">
        <x:f t="shared" si="10"/>
        <x:v>0</x:v>
      </x:c>
      <x:c r="L236" s="3">
        <x:f t="shared" si="11"/>
        <x:v>0</x:v>
      </x:c>
      <x:c r="M236" t="s">
        <x:v>131</x:v>
      </x:c>
    </x:row>
    <x:row r="237">
      <x:c r="A237" t="s">
        <x:v>122</x:v>
      </x:c>
      <x:c r="B237" t="s">
        <x:v>8</x:v>
      </x:c>
      <x:c r="C237" t="s">
        <x:v>14</x:v>
      </x:c>
      <x:c r="D237" t="s">
        <x:v>64</x:v>
      </x:c>
      <x:c r="E237">
        <x:v>1</x:v>
      </x:c>
      <x:c r="F237" s="3" t="e">
        <x:f>E237/全局统计!$B$4</x:f>
        <x:v>#NAME?</x:v>
      </x:c>
      <x:c r="G237" s="3">
        <x:f t="shared" si="9"/>
        <x:v>0.00353356890459364</x:v>
      </x:c>
      <x:c r="H237">
        <x:v>0</x:v>
      </x:c>
      <x:c r="I237">
        <x:v>1</x:v>
      </x:c>
      <x:c r="J237">
        <x:v>0</x:v>
      </x:c>
      <x:c r="K237" s="3">
        <x:f t="shared" si="10"/>
        <x:v>0</x:v>
      </x:c>
      <x:c r="L237" s="3">
        <x:f t="shared" si="11"/>
        <x:v>0</x:v>
      </x:c>
      <x:c r="M237" t="s">
        <x:v>131</x:v>
      </x:c>
    </x:row>
    <x:row r="238">
      <x:c r="A238" t="s">
        <x:v>122</x:v>
      </x:c>
      <x:c r="B238" t="s">
        <x:v>8</x:v>
      </x:c>
      <x:c r="C238" t="s">
        <x:v>14</x:v>
      </x:c>
      <x:c r="D238" t="s">
        <x:v>47</x:v>
      </x:c>
      <x:c r="E238">
        <x:v>1</x:v>
      </x:c>
      <x:c r="F238" s="3" t="e">
        <x:f>E238/全局统计!$B$4</x:f>
        <x:v>#NAME?</x:v>
      </x:c>
      <x:c r="G238" s="3">
        <x:f t="shared" si="9"/>
        <x:v>0.00353356890459364</x:v>
      </x:c>
      <x:c r="H238">
        <x:v>0</x:v>
      </x:c>
      <x:c r="I238">
        <x:v>1</x:v>
      </x:c>
      <x:c r="J238">
        <x:v>0</x:v>
      </x:c>
      <x:c r="K238" s="3">
        <x:f t="shared" si="10"/>
        <x:v>0</x:v>
      </x:c>
      <x:c r="L238" s="3">
        <x:f t="shared" si="11"/>
        <x:v>0</x:v>
      </x:c>
      <x:c r="M238" t="s">
        <x:v>131</x:v>
      </x:c>
    </x:row>
    <x:row r="239">
      <x:c r="A239" t="s">
        <x:v>122</x:v>
      </x:c>
      <x:c r="B239" t="s">
        <x:v>21</x:v>
      </x:c>
      <x:c r="C239" t="s">
        <x:v>20</x:v>
      </x:c>
      <x:c r="D239" t="s">
        <x:v>51</x:v>
      </x:c>
      <x:c r="E239">
        <x:v>1</x:v>
      </x:c>
      <x:c r="F239" s="3" t="e">
        <x:f>E239/全局统计!$B$4</x:f>
        <x:v>#NAME?</x:v>
      </x:c>
      <x:c r="G239" s="3">
        <x:f t="shared" si="9"/>
        <x:v>0.00353356890459364</x:v>
      </x:c>
      <x:c r="H239">
        <x:v>0</x:v>
      </x:c>
      <x:c r="I239">
        <x:v>1</x:v>
      </x:c>
      <x:c r="J239">
        <x:v>0</x:v>
      </x:c>
      <x:c r="K239" s="3">
        <x:f t="shared" si="10"/>
        <x:v>0</x:v>
      </x:c>
      <x:c r="L239" s="3">
        <x:f t="shared" si="11"/>
        <x:v>0</x:v>
      </x:c>
      <x:c r="M239" t="s">
        <x:v>131</x:v>
      </x:c>
    </x:row>
    <x:row r="240">
      <x:c r="A240" t="s">
        <x:v>122</x:v>
      </x:c>
      <x:c r="B240" t="s">
        <x:v>8</x:v>
      </x:c>
      <x:c r="C240" t="s">
        <x:v>7</x:v>
      </x:c>
      <x:c r="D240" t="s">
        <x:v>132</x:v>
      </x:c>
      <x:c r="E240">
        <x:v>1</x:v>
      </x:c>
      <x:c r="F240" s="3" t="e">
        <x:f>E240/全局统计!$B$4</x:f>
        <x:v>#NAME?</x:v>
      </x:c>
      <x:c r="G240" s="3">
        <x:f t="shared" si="9"/>
        <x:v>0.00353356890459364</x:v>
      </x:c>
      <x:c r="H240">
        <x:v>1</x:v>
      </x:c>
      <x:c r="I240">
        <x:v>0</x:v>
      </x:c>
      <x:c r="J240">
        <x:v>0</x:v>
      </x:c>
      <x:c r="K240" s="3">
        <x:f t="shared" si="10"/>
        <x:v>1</x:v>
      </x:c>
      <x:c r="L240" s="3">
        <x:f t="shared" si="11"/>
        <x:v>0</x:v>
      </x:c>
      <x:c r="M240" t="s">
        <x:v>130</x:v>
      </x:c>
    </x:row>
    <x:row r="241">
      <x:c r="A241" t="s">
        <x:v>122</x:v>
      </x:c>
      <x:c r="B241" t="s">
        <x:v>8</x:v>
      </x:c>
      <x:c r="C241" t="s">
        <x:v>7</x:v>
      </x:c>
      <x:c r="D241" t="s">
        <x:v>129</x:v>
      </x:c>
      <x:c r="E241">
        <x:v>1</x:v>
      </x:c>
      <x:c r="F241" s="3" t="e">
        <x:f>E241/全局统计!$B$4</x:f>
        <x:v>#NAME?</x:v>
      </x:c>
      <x:c r="G241" s="3">
        <x:f t="shared" si="9"/>
        <x:v>0.00353356890459364</x:v>
      </x:c>
      <x:c r="H241">
        <x:v>0</x:v>
      </x:c>
      <x:c r="I241">
        <x:v>1</x:v>
      </x:c>
      <x:c r="J241">
        <x:v>0</x:v>
      </x:c>
      <x:c r="K241" s="3">
        <x:f t="shared" si="10"/>
        <x:v>0</x:v>
      </x:c>
      <x:c r="L241" s="3">
        <x:f t="shared" si="11"/>
        <x:v>0</x:v>
      </x:c>
      <x:c r="M241" t="s">
        <x:v>131</x:v>
      </x:c>
    </x:row>
    <x:row r="242">
      <x:c r="A242" t="s">
        <x:v>122</x:v>
      </x:c>
      <x:c r="B242" t="s">
        <x:v>8</x:v>
      </x:c>
      <x:c r="C242" t="s">
        <x:v>17</x:v>
      </x:c>
      <x:c r="D242" t="s">
        <x:v>132</x:v>
      </x:c>
      <x:c r="E242">
        <x:v>1</x:v>
      </x:c>
      <x:c r="F242" s="3" t="e">
        <x:f>E242/全局统计!$B$4</x:f>
        <x:v>#NAME?</x:v>
      </x:c>
      <x:c r="G242" s="3">
        <x:f t="shared" si="9"/>
        <x:v>0.00353356890459364</x:v>
      </x:c>
      <x:c r="H242">
        <x:v>0</x:v>
      </x:c>
      <x:c r="I242">
        <x:v>1</x:v>
      </x:c>
      <x:c r="J242">
        <x:v>0</x:v>
      </x:c>
      <x:c r="K242" s="3">
        <x:f t="shared" si="10"/>
        <x:v>0</x:v>
      </x:c>
      <x:c r="L242" s="3">
        <x:f t="shared" si="11"/>
        <x:v>0</x:v>
      </x:c>
      <x:c r="M242" t="s">
        <x:v>131</x:v>
      </x:c>
    </x:row>
    <x:row r="243">
      <x:c r="A243" t="s">
        <x:v>122</x:v>
      </x:c>
      <x:c r="B243" t="s">
        <x:v>8</x:v>
      </x:c>
      <x:c r="C243" t="s">
        <x:v>68</x:v>
      </x:c>
      <x:c r="D243" t="s">
        <x:v>129</x:v>
      </x:c>
      <x:c r="E243">
        <x:v>1</x:v>
      </x:c>
      <x:c r="F243" s="3" t="e">
        <x:f>E243/全局统计!$B$4</x:f>
        <x:v>#NAME?</x:v>
      </x:c>
      <x:c r="G243" s="3">
        <x:f t="shared" si="9"/>
        <x:v>0.00353356890459364</x:v>
      </x:c>
      <x:c r="H243">
        <x:v>0</x:v>
      </x:c>
      <x:c r="I243">
        <x:v>1</x:v>
      </x:c>
      <x:c r="J243">
        <x:v>0</x:v>
      </x:c>
      <x:c r="K243" s="3">
        <x:f t="shared" si="10"/>
        <x:v>0</x:v>
      </x:c>
      <x:c r="L243" s="3">
        <x:f t="shared" si="11"/>
        <x:v>0</x:v>
      </x:c>
      <x:c r="M243" t="s">
        <x:v>131</x:v>
      </x:c>
    </x:row>
    <x:row r="244">
      <x:c r="A244" t="s">
        <x:v>122</x:v>
      </x:c>
      <x:c r="B244" t="s">
        <x:v>8</x:v>
      </x:c>
      <x:c r="C244" t="s">
        <x:v>68</x:v>
      </x:c>
      <x:c r="D244" t="s">
        <x:v>47</x:v>
      </x:c>
      <x:c r="E244">
        <x:v>1</x:v>
      </x:c>
      <x:c r="F244" s="3" t="e">
        <x:f>E244/全局统计!$B$4</x:f>
        <x:v>#NAME?</x:v>
      </x:c>
      <x:c r="G244" s="3">
        <x:f t="shared" si="9"/>
        <x:v>0.00353356890459364</x:v>
      </x:c>
      <x:c r="H244">
        <x:v>1</x:v>
      </x:c>
      <x:c r="I244">
        <x:v>0</x:v>
      </x:c>
      <x:c r="J244">
        <x:v>0</x:v>
      </x:c>
      <x:c r="K244" s="3">
        <x:f t="shared" si="10"/>
        <x:v>1</x:v>
      </x:c>
      <x:c r="L244" s="3">
        <x:f t="shared" si="11"/>
        <x:v>0</x:v>
      </x:c>
      <x:c r="M244" t="s">
        <x:v>130</x:v>
      </x:c>
    </x:row>
    <x:row r="245">
      <x:c r="A245" t="s">
        <x:v>122</x:v>
      </x:c>
      <x:c r="B245" t="s">
        <x:v>8</x:v>
      </x:c>
      <x:c r="C245" t="s">
        <x:v>11</x:v>
      </x:c>
      <x:c r="D245" t="s">
        <x:v>51</x:v>
      </x:c>
      <x:c r="E245">
        <x:v>1</x:v>
      </x:c>
      <x:c r="F245" s="3" t="e">
        <x:f>E245/全局统计!$B$4</x:f>
        <x:v>#NAME?</x:v>
      </x:c>
      <x:c r="G245" s="3">
        <x:f t="shared" si="9"/>
        <x:v>0.00353356890459364</x:v>
      </x:c>
      <x:c r="H245">
        <x:v>0</x:v>
      </x:c>
      <x:c r="I245">
        <x:v>1</x:v>
      </x:c>
      <x:c r="J245">
        <x:v>0</x:v>
      </x:c>
      <x:c r="K245" s="3">
        <x:f t="shared" si="10"/>
        <x:v>0</x:v>
      </x:c>
      <x:c r="L245" s="3">
        <x:f t="shared" si="11"/>
        <x:v>0</x:v>
      </x:c>
      <x:c r="M245" t="s">
        <x:v>131</x:v>
      </x:c>
    </x:row>
    <x:row r="246">
      <x:c r="A246" t="s">
        <x:v>122</x:v>
      </x:c>
      <x:c r="B246" t="s">
        <x:v>8</x:v>
      </x:c>
      <x:c r="C246" t="s">
        <x:v>11</x:v>
      </x:c>
      <x:c r="D246" t="s">
        <x:v>64</x:v>
      </x:c>
      <x:c r="E246">
        <x:v>1</x:v>
      </x:c>
      <x:c r="F246" s="3" t="e">
        <x:f>E246/全局统计!$B$4</x:f>
        <x:v>#NAME?</x:v>
      </x:c>
      <x:c r="G246" s="3">
        <x:f t="shared" si="9"/>
        <x:v>0.00353356890459364</x:v>
      </x:c>
      <x:c r="H246">
        <x:v>1</x:v>
      </x:c>
      <x:c r="I246">
        <x:v>0</x:v>
      </x:c>
      <x:c r="J246">
        <x:v>0</x:v>
      </x:c>
      <x:c r="K246" s="3">
        <x:f t="shared" si="10"/>
        <x:v>1</x:v>
      </x:c>
      <x:c r="L246" s="3">
        <x:f t="shared" si="11"/>
        <x:v>0</x:v>
      </x:c>
      <x:c r="M246" t="s">
        <x:v>130</x:v>
      </x:c>
    </x:row>
    <x:row r="247">
      <x:c r="A247" t="s">
        <x:v>122</x:v>
      </x:c>
      <x:c r="B247" t="s">
        <x:v>8</x:v>
      </x:c>
      <x:c r="C247" t="s">
        <x:v>11</x:v>
      </x:c>
      <x:c r="D247" t="s">
        <x:v>56</x:v>
      </x:c>
      <x:c r="E247">
        <x:v>1</x:v>
      </x:c>
      <x:c r="F247" s="3" t="e">
        <x:f>E247/全局统计!$B$4</x:f>
        <x:v>#NAME?</x:v>
      </x:c>
      <x:c r="G247" s="3">
        <x:f t="shared" si="9"/>
        <x:v>0.00353356890459364</x:v>
      </x:c>
      <x:c r="H247">
        <x:v>0</x:v>
      </x:c>
      <x:c r="I247">
        <x:v>1</x:v>
      </x:c>
      <x:c r="J247">
        <x:v>0</x:v>
      </x:c>
      <x:c r="K247" s="3">
        <x:f t="shared" si="10"/>
        <x:v>0</x:v>
      </x:c>
      <x:c r="L247" s="3">
        <x:f t="shared" si="11"/>
        <x:v>0</x:v>
      </x:c>
      <x:c r="M247" t="s">
        <x:v>131</x:v>
      </x:c>
    </x:row>
    <x:row r="248">
      <x:c r="A248" t="s">
        <x:v>123</x:v>
      </x:c>
      <x:c r="B248" t="s">
        <x:v>28</x:v>
      </x:c>
      <x:c r="C248" t="s">
        <x:v>27</x:v>
      </x:c>
      <x:c r="D248" t="s">
        <x:v>56</x:v>
      </x:c>
      <x:c r="E248">
        <x:v>1</x:v>
      </x:c>
      <x:c r="F248" s="3" t="e">
        <x:f>E248/全局统计!$B$4</x:f>
        <x:v>#NAME?</x:v>
      </x:c>
      <x:c r="G248" s="3">
        <x:f t="shared" si="9"/>
        <x:v>0.0023094688221709</x:v>
      </x:c>
      <x:c r="H248">
        <x:v>0</x:v>
      </x:c>
      <x:c r="I248">
        <x:v>1</x:v>
      </x:c>
      <x:c r="J248">
        <x:v>0</x:v>
      </x:c>
      <x:c r="K248" s="3">
        <x:f t="shared" si="10"/>
        <x:v>0</x:v>
      </x:c>
      <x:c r="L248" s="3">
        <x:f t="shared" si="11"/>
        <x:v>0</x:v>
      </x:c>
      <x:c r="M248" t="s">
        <x:v>131</x:v>
      </x:c>
    </x:row>
    <x:row r="249">
      <x:c r="A249" t="s">
        <x:v>123</x:v>
      </x:c>
      <x:c r="B249" t="s">
        <x:v>8</x:v>
      </x:c>
      <x:c r="C249" t="s">
        <x:v>17</x:v>
      </x:c>
      <x:c r="D249" t="s">
        <x:v>51</x:v>
      </x:c>
      <x:c r="E249">
        <x:v>1</x:v>
      </x:c>
      <x:c r="F249" s="3" t="e">
        <x:f>E249/全局统计!$B$4</x:f>
        <x:v>#NAME?</x:v>
      </x:c>
      <x:c r="G249" s="3">
        <x:f t="shared" si="9"/>
        <x:v>0.0023094688221709</x:v>
      </x:c>
      <x:c r="H249">
        <x:v>1</x:v>
      </x:c>
      <x:c r="I249">
        <x:v>0</x:v>
      </x:c>
      <x:c r="J249">
        <x:v>0</x:v>
      </x:c>
      <x:c r="K249" s="3">
        <x:f t="shared" si="10"/>
        <x:v>1</x:v>
      </x:c>
      <x:c r="L249" s="3">
        <x:f t="shared" si="11"/>
        <x:v>0</x:v>
      </x:c>
      <x:c r="M249" t="s">
        <x:v>130</x:v>
      </x:c>
    </x:row>
    <x:row r="250">
      <x:c r="A250" t="s">
        <x:v>123</x:v>
      </x:c>
      <x:c r="B250" t="s">
        <x:v>8</x:v>
      </x:c>
      <x:c r="C250" t="s">
        <x:v>17</x:v>
      </x:c>
      <x:c r="D250" t="s">
        <x:v>129</x:v>
      </x:c>
      <x:c r="E250">
        <x:v>1</x:v>
      </x:c>
      <x:c r="F250" s="3" t="e">
        <x:f>E250/全局统计!$B$4</x:f>
        <x:v>#NAME?</x:v>
      </x:c>
      <x:c r="G250" s="3">
        <x:f t="shared" si="9"/>
        <x:v>0.0023094688221709</x:v>
      </x:c>
      <x:c r="H250">
        <x:v>0</x:v>
      </x:c>
      <x:c r="I250">
        <x:v>1</x:v>
      </x:c>
      <x:c r="J250">
        <x:v>0</x:v>
      </x:c>
      <x:c r="K250" s="3">
        <x:f t="shared" si="10"/>
        <x:v>0</x:v>
      </x:c>
      <x:c r="L250" s="3">
        <x:f t="shared" si="11"/>
        <x:v>0</x:v>
      </x:c>
      <x:c r="M250" t="s">
        <x:v>131</x:v>
      </x:c>
    </x:row>
    <x:row r="251">
      <x:c r="A251" t="s">
        <x:v>123</x:v>
      </x:c>
      <x:c r="B251" t="s">
        <x:v>8</x:v>
      </x:c>
      <x:c r="C251" t="s">
        <x:v>17</x:v>
      </x:c>
      <x:c r="D251" t="s">
        <x:v>56</x:v>
      </x:c>
      <x:c r="E251">
        <x:v>1</x:v>
      </x:c>
      <x:c r="F251" s="3" t="e">
        <x:f>E251/全局统计!$B$4</x:f>
        <x:v>#NAME?</x:v>
      </x:c>
      <x:c r="G251" s="3">
        <x:f t="shared" si="9"/>
        <x:v>0.0023094688221709</x:v>
      </x:c>
      <x:c r="H251">
        <x:v>1</x:v>
      </x:c>
      <x:c r="I251">
        <x:v>0</x:v>
      </x:c>
      <x:c r="J251">
        <x:v>0</x:v>
      </x:c>
      <x:c r="K251" s="3">
        <x:f t="shared" si="10"/>
        <x:v>1</x:v>
      </x:c>
      <x:c r="L251" s="3">
        <x:f t="shared" si="11"/>
        <x:v>0</x:v>
      </x:c>
      <x:c r="M251" t="s">
        <x:v>130</x:v>
      </x:c>
    </x:row>
    <x:row r="252">
      <x:c r="A252" t="s">
        <x:v>123</x:v>
      </x:c>
      <x:c r="B252" t="s">
        <x:v>8</x:v>
      </x:c>
      <x:c r="C252" t="s">
        <x:v>68</x:v>
      </x:c>
      <x:c r="D252" t="s">
        <x:v>129</x:v>
      </x:c>
      <x:c r="E252">
        <x:v>1</x:v>
      </x:c>
      <x:c r="F252" s="3" t="e">
        <x:f>E252/全局统计!$B$4</x:f>
        <x:v>#NAME?</x:v>
      </x:c>
      <x:c r="G252" s="3">
        <x:f t="shared" si="9"/>
        <x:v>0.0023094688221709</x:v>
      </x:c>
      <x:c r="H252">
        <x:v>0</x:v>
      </x:c>
      <x:c r="I252">
        <x:v>1</x:v>
      </x:c>
      <x:c r="J252">
        <x:v>0</x:v>
      </x:c>
      <x:c r="K252" s="3">
        <x:f t="shared" si="10"/>
        <x:v>0</x:v>
      </x:c>
      <x:c r="L252" s="3">
        <x:f t="shared" si="11"/>
        <x:v>0</x:v>
      </x:c>
      <x:c r="M252" t="s">
        <x:v>131</x:v>
      </x:c>
    </x:row>
    <x:row r="253">
      <x:c r="A253" t="s">
        <x:v>123</x:v>
      </x:c>
      <x:c r="B253" t="s">
        <x:v>8</x:v>
      </x:c>
      <x:c r="C253" t="s">
        <x:v>11</x:v>
      </x:c>
      <x:c r="D253" t="s">
        <x:v>51</x:v>
      </x:c>
      <x:c r="E253">
        <x:v>1</x:v>
      </x:c>
      <x:c r="F253" s="3" t="e">
        <x:f>E253/全局统计!$B$4</x:f>
        <x:v>#NAME?</x:v>
      </x:c>
      <x:c r="G253" s="3">
        <x:f t="shared" si="9"/>
        <x:v>0.0023094688221709</x:v>
      </x:c>
      <x:c r="H253">
        <x:v>1</x:v>
      </x:c>
      <x:c r="I253">
        <x:v>0</x:v>
      </x:c>
      <x:c r="J253">
        <x:v>0</x:v>
      </x:c>
      <x:c r="K253" s="3">
        <x:f t="shared" si="10"/>
        <x:v>1</x:v>
      </x:c>
      <x:c r="L253" s="3">
        <x:f t="shared" si="11"/>
        <x:v>0</x:v>
      </x:c>
      <x:c r="M253" t="s">
        <x:v>130</x:v>
      </x:c>
    </x:row>
    <x:row r="254">
      <x:c r="A254" t="s">
        <x:v>123</x:v>
      </x:c>
      <x:c r="B254" t="s">
        <x:v>8</x:v>
      </x:c>
      <x:c r="C254" t="s">
        <x:v>11</x:v>
      </x:c>
      <x:c r="D254" t="s">
        <x:v>111</x:v>
      </x:c>
      <x:c r="E254">
        <x:v>1</x:v>
      </x:c>
      <x:c r="F254" s="3" t="e">
        <x:f>E254/全局统计!$B$4</x:f>
        <x:v>#NAME?</x:v>
      </x:c>
      <x:c r="G254" s="3">
        <x:f t="shared" si="9"/>
        <x:v>0.0023094688221709</x:v>
      </x:c>
      <x:c r="H254">
        <x:v>1</x:v>
      </x:c>
      <x:c r="I254">
        <x:v>0</x:v>
      </x:c>
      <x:c r="J254">
        <x:v>0</x:v>
      </x:c>
      <x:c r="K254" s="3">
        <x:f t="shared" si="10"/>
        <x:v>1</x:v>
      </x:c>
      <x:c r="L254" s="3">
        <x:f t="shared" si="11"/>
        <x:v>0</x:v>
      </x:c>
      <x:c r="M254" t="s">
        <x:v>130</x:v>
      </x:c>
    </x:row>
    <x:row r="255">
      <x:c r="A255" t="s">
        <x:v>123</x:v>
      </x:c>
      <x:c r="B255" t="s">
        <x:v>8</x:v>
      </x:c>
      <x:c r="C255" t="s">
        <x:v>11</x:v>
      </x:c>
      <x:c r="D255" t="s">
        <x:v>129</x:v>
      </x:c>
      <x:c r="E255">
        <x:v>1</x:v>
      </x:c>
      <x:c r="F255" s="3" t="e">
        <x:f>E255/全局统计!$B$4</x:f>
        <x:v>#NAME?</x:v>
      </x:c>
      <x:c r="G255" s="3">
        <x:f t="shared" si="9"/>
        <x:v>0.0023094688221709</x:v>
      </x:c>
      <x:c r="H255">
        <x:v>0</x:v>
      </x:c>
      <x:c r="I255">
        <x:v>1</x:v>
      </x:c>
      <x:c r="J255">
        <x:v>0</x:v>
      </x:c>
      <x:c r="K255" s="3">
        <x:f t="shared" si="10"/>
        <x:v>0</x:v>
      </x:c>
      <x:c r="L255" s="3">
        <x:f t="shared" si="11"/>
        <x:v>0</x:v>
      </x:c>
      <x:c r="M255" t="s">
        <x:v>131</x:v>
      </x:c>
    </x:row>
    <x:row r="256">
      <x:c r="A256" t="s">
        <x:v>123</x:v>
      </x:c>
      <x:c r="B256" t="s">
        <x:v>8</x:v>
      </x:c>
      <x:c r="C256" t="s">
        <x:v>55</x:v>
      </x:c>
      <x:c r="D256" t="s">
        <x:v>64</x:v>
      </x:c>
      <x:c r="E256">
        <x:v>1</x:v>
      </x:c>
      <x:c r="F256" s="3" t="e">
        <x:f>E256/全局统计!$B$4</x:f>
        <x:v>#NAME?</x:v>
      </x:c>
      <x:c r="G256" s="3">
        <x:f t="shared" si="9"/>
        <x:v>0.0023094688221709</x:v>
      </x:c>
      <x:c r="H256">
        <x:v>1</x:v>
      </x:c>
      <x:c r="I256">
        <x:v>0</x:v>
      </x:c>
      <x:c r="J256">
        <x:v>0</x:v>
      </x:c>
      <x:c r="K256" s="3">
        <x:f t="shared" si="10"/>
        <x:v>1</x:v>
      </x:c>
      <x:c r="L256" s="3">
        <x:f t="shared" si="11"/>
        <x:v>0</x:v>
      </x:c>
      <x:c r="M256" t="s">
        <x:v>130</x:v>
      </x:c>
    </x:row>
  </x:sheetData>
  <x:mergeCells>
    <x:mergeCell ref="A1:M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4"/>
  <x:cols>
    <x:col min="1" max="1" width="18" customWidth="1"/>
    <x:col min="2" max="3" width="16" customWidth="1"/>
    <x:col min="4" max="5" width="10" customWidth="1"/>
    <x:col min="6" max="8" width="9" customWidth="1"/>
    <x:col min="9" max="10" width="10" customWidth="1"/>
    <x:col min="11" max="11" width="18" customWidth="1"/>
  </x:cols>
  <x:sheetData>
    <x:row r="1" ht="20">
      <x:c r="A1" s="1" t="s">
        <x:v>134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3">
      <x:c r="A3" s="2" t="s">
        <x:v>135</x:v>
      </x:c>
      <x:c r="B3" s="2" t="s">
        <x:v>136</x:v>
      </x:c>
    </x:row>
    <x:row r="4">
      <x:c r="A4" t="s">
        <x:v>137</x:v>
      </x:c>
      <x:c r="B4">
        <x:v>4747</x:v>
      </x:c>
    </x:row>
    <x:row r="5">
      <x:c r="A5" t="s">
        <x:v>138</x:v>
      </x:c>
      <x:c r="B5">
        <x:v>6</x:v>
      </x:c>
    </x:row>
    <x:row r="6">
      <x:c r="A6" t="s">
        <x:v>139</x:v>
      </x:c>
      <x:c r="B6">
        <x:v>9</x:v>
      </x:c>
    </x:row>
    <x:row r="7">
      <x:c r="A7" t="s">
        <x:v>140</x:v>
      </x:c>
      <x:c r="B7">
        <x:v>7</x:v>
      </x:c>
    </x:row>
    <x:row r="9" ht="28">
      <x:c r="A9" s="2" t="s">
        <x:v>141</x:v>
      </x:c>
      <x:c r="B9" s="2" t="s">
        <x:v>34</x:v>
      </x:c>
      <x:c r="C9" s="2" t="s">
        <x:v>127</x:v>
      </x:c>
      <x:c r="E9" s="2" t="s">
        <x:v>3</x:v>
      </x:c>
      <x:c r="F9" s="2" t="s">
        <x:v>4</x:v>
      </x:c>
      <x:c r="G9" s="2" t="s">
        <x:v>34</x:v>
      </x:c>
      <x:c r="H9" s="2" t="s">
        <x:v>127</x:v>
      </x:c>
    </x:row>
    <x:row r="10">
      <x:c r="A10" t="s">
        <x:v>129</x:v>
      </x:c>
      <x:c r="B10">
        <x:v>2351</x:v>
      </x:c>
      <x:c r="C10" s="3" t="n">
        <x:f t="shared" ref="C10:C16" si="0">B10/$B$4</x:f>
        <x:v>0.49526016431430375</x:v>
      </x:c>
      <x:c r="E10" t="s">
        <x:v>7</x:v>
      </x:c>
      <x:c r="F10" t="s">
        <x:v>8</x:v>
      </x:c>
      <x:c r="G10">
        <x:v>1709</x:v>
      </x:c>
      <x:c r="H10" s="3" t="n">
        <x:f t="shared" ref="H10:H18" si="1">G10/$B$4</x:f>
        <x:v>0.3600168527491047</x:v>
      </x:c>
    </x:row>
    <x:row r="11">
      <x:c r="A11" t="s">
        <x:v>121</x:v>
      </x:c>
      <x:c r="B11">
        <x:v>1093</x:v>
      </x:c>
      <x:c r="C11" s="3">
        <x:f t="shared" si="0"/>
        <x:v>0.230250684642932</x:v>
      </x:c>
      <x:c r="E11" t="s">
        <x:v>27</x:v>
      </x:c>
      <x:c r="F11" t="s">
        <x:v>28</x:v>
      </x:c>
      <x:c r="G11">
        <x:v>648</x:v>
      </x:c>
      <x:c r="H11" s="3">
        <x:f t="shared" si="1"/>
        <x:v>0.136507267748051</x:v>
      </x:c>
    </x:row>
    <x:row r="12">
      <x:c r="A12" t="s">
        <x:v>123</x:v>
      </x:c>
      <x:c r="B12">
        <x:v>433</x:v>
      </x:c>
      <x:c r="C12" s="3">
        <x:f t="shared" si="0"/>
        <x:v>0.0912155045291763</x:v>
      </x:c>
      <x:c r="E12" t="s">
        <x:v>55</x:v>
      </x:c>
      <x:c r="F12" t="s">
        <x:v>8</x:v>
      </x:c>
      <x:c r="G12">
        <x:v>513</x:v>
      </x:c>
      <x:c r="H12" s="3">
        <x:f t="shared" si="1"/>
        <x:v>0.108068253633874</x:v>
      </x:c>
    </x:row>
    <x:row r="13">
      <x:c r="A13" t="s">
        <x:v>120</x:v>
      </x:c>
      <x:c r="B13">
        <x:v>312</x:v>
      </x:c>
      <x:c r="C13" s="3">
        <x:f t="shared" si="0"/>
        <x:v>0.065725721508321</x:v>
      </x:c>
      <x:c r="E13" t="s">
        <x:v>14</x:v>
      </x:c>
      <x:c r="F13" t="s">
        <x:v>8</x:v>
      </x:c>
      <x:c r="G13">
        <x:v>498</x:v>
      </x:c>
      <x:c r="H13" s="3">
        <x:f t="shared" si="1"/>
        <x:v>0.104908363176743</x:v>
      </x:c>
    </x:row>
    <x:row r="14">
      <x:c r="A14" t="s">
        <x:v>122</x:v>
      </x:c>
      <x:c r="B14">
        <x:v>283</x:v>
      </x:c>
      <x:c r="C14" s="3">
        <x:f t="shared" si="0"/>
        <x:v>0.0596165999578681</x:v>
      </x:c>
      <x:c r="E14" t="s">
        <x:v>11</x:v>
      </x:c>
      <x:c r="F14" t="s">
        <x:v>8</x:v>
      </x:c>
      <x:c r="G14">
        <x:v>444</x:v>
      </x:c>
      <x:c r="H14" s="3">
        <x:f t="shared" si="1"/>
        <x:v>0.0935327575310722</x:v>
      </x:c>
    </x:row>
    <x:row r="15">
      <x:c r="A15" t="s">
        <x:v>119</x:v>
      </x:c>
      <x:c r="B15">
        <x:v>211</x:v>
      </x:c>
      <x:c r="C15" s="3">
        <x:f t="shared" si="0"/>
        <x:v>0.0444491257636402</x:v>
      </x:c>
      <x:c r="E15" t="s">
        <x:v>24</x:v>
      </x:c>
      <x:c r="F15" t="s">
        <x:v>21</x:v>
      </x:c>
      <x:c r="G15">
        <x:v>309</x:v>
      </x:c>
      <x:c r="H15" s="3">
        <x:f t="shared" si="1"/>
        <x:v>0.0650937434168949</x:v>
      </x:c>
    </x:row>
    <x:row r="16">
      <x:c r="A16" t="s">
        <x:v>118</x:v>
      </x:c>
      <x:c r="B16">
        <x:v>64</x:v>
      </x:c>
      <x:c r="C16" s="3">
        <x:f t="shared" si="0"/>
        <x:v>0.0134821992837582</x:v>
      </x:c>
      <x:c r="E16" t="s">
        <x:v>20</x:v>
      </x:c>
      <x:c r="F16" t="s">
        <x:v>21</x:v>
      </x:c>
      <x:c r="G16">
        <x:v>242</x:v>
      </x:c>
      <x:c r="H16" s="3">
        <x:f t="shared" si="1"/>
        <x:v>0.0509795660417106</x:v>
      </x:c>
    </x:row>
    <x:row r="17">
      <x:c r="E17" t="s">
        <x:v>17</x:v>
      </x:c>
      <x:c r="F17" t="s">
        <x:v>8</x:v>
      </x:c>
      <x:c r="G17">
        <x:v>196</x:v>
      </x:c>
      <x:c r="H17" s="3">
        <x:f t="shared" si="1"/>
        <x:v>0.0412892353065094</x:v>
      </x:c>
    </x:row>
    <x:row r="18">
      <x:c r="E18" t="s">
        <x:v>68</x:v>
      </x:c>
      <x:c r="F18" t="s">
        <x:v>8</x:v>
      </x:c>
      <x:c r="G18">
        <x:v>188</x:v>
      </x:c>
      <x:c r="H18" s="3">
        <x:f t="shared" si="1"/>
        <x:v>0.0396039603960396</x:v>
      </x:c>
    </x:row>
    <x:row r="22">
      <x:c r="A22" s="2" t="s">
        <x:v>142</x:v>
      </x:c>
      <x:c r="B22" s="2" t="s">
        <x:v>34</x:v>
      </x:c>
      <x:c r="C22" s="2" t="s">
        <x:v>127</x:v>
      </x:c>
      <x:c r="E22" s="2" t="s">
        <x:v>143</x:v>
      </x:c>
      <x:c r="F22" s="2" t="s">
        <x:v>34</x:v>
      </x:c>
      <x:c r="G22" s="2" t="s">
        <x:v>127</x:v>
      </x:c>
    </x:row>
    <x:row r="23">
      <x:c r="A23" t="s">
        <x:v>56</x:v>
      </x:c>
      <x:c r="B23">
        <x:v>1712</x:v>
      </x:c>
      <x:c r="C23" s="3" t="n">
        <x:f t="shared" ref="C23:C29" si="2">B23/$B$4</x:f>
        <x:v>0.36064883084053084</x:v>
      </x:c>
      <x:c r="E23" t="s">
        <x:v>131</x:v>
      </x:c>
      <x:c r="F23">
        <x:v>2284</x:v>
      </x:c>
      <x:c r="G23" s="3" t="n">
        <x:f>F23/$B$4</x:f>
        <x:v>0.4811459869391194</x:v>
      </x:c>
    </x:row>
    <x:row r="24">
      <x:c r="A24" t="s">
        <x:v>47</x:v>
      </x:c>
      <x:c r="B24">
        <x:v>1684</x:v>
      </x:c>
      <x:c r="C24" s="3">
        <x:f t="shared" si="2"/>
        <x:v>0.354750368653887</x:v>
      </x:c>
      <x:c r="E24" t="s">
        <x:v>130</x:v>
      </x:c>
      <x:c r="F24">
        <x:v>2243</x:v>
      </x:c>
      <x:c r="G24" s="3" t="n">
        <x:f>F24/$B$4</x:f>
        <x:v>0.47250895302296186</x:v>
      </x:c>
    </x:row>
    <x:row r="25">
      <x:c r="A25" t="s">
        <x:v>51</x:v>
      </x:c>
      <x:c r="B25">
        <x:v>686</x:v>
      </x:c>
      <x:c r="C25" s="3">
        <x:f t="shared" si="2"/>
        <x:v>0.144512323572783</x:v>
      </x:c>
      <x:c r="E25" t="s">
        <x:v>133</x:v>
      </x:c>
      <x:c r="F25">
        <x:v>220</x:v>
      </x:c>
      <x:c r="G25" s="3" t="n">
        <x:f>F25/$B$4</x:f>
        <x:v>0.04634506003791868</x:v>
      </x:c>
    </x:row>
    <x:row r="26">
      <x:c r="A26" t="s">
        <x:v>64</x:v>
      </x:c>
      <x:c r="B26">
        <x:v>403</x:v>
      </x:c>
      <x:c r="C26" s="3">
        <x:f t="shared" si="2"/>
        <x:v>0.0848957236149147</x:v>
      </x:c>
    </x:row>
    <x:row r="27">
      <x:c r="A27" t="s">
        <x:v>111</x:v>
      </x:c>
      <x:c r="B27">
        <x:v>109</x:v>
      </x:c>
      <x:c r="C27" s="3">
        <x:f t="shared" si="2"/>
        <x:v>0.0229618706551506</x:v>
      </x:c>
    </x:row>
    <x:row r="28">
      <x:c r="A28" t="s">
        <x:v>129</x:v>
      </x:c>
      <x:c r="B28">
        <x:v>78</x:v>
      </x:c>
      <x:c r="C28" s="3">
        <x:f t="shared" si="2"/>
        <x:v>0.0164314303770803</x:v>
      </x:c>
    </x:row>
    <x:row r="29">
      <x:c r="A29" t="s">
        <x:v>132</x:v>
      </x:c>
      <x:c r="B29">
        <x:v>75</x:v>
      </x:c>
      <x:c r="C29" s="3">
        <x:f t="shared" si="2"/>
        <x:v>0.0157994522856541</x:v>
      </x:c>
    </x:row>
    <x:row r="32">
      <x:c r="A32" s="2" t="s">
        <x:v>4</x:v>
      </x:c>
      <x:c r="B32" s="2" t="s">
        <x:v>125</x:v>
      </x:c>
      <x:c r="C32" s="2" t="s">
        <x:v>126</x:v>
      </x:c>
      <x:c r="D32" s="2" t="s">
        <x:v>34</x:v>
      </x:c>
      <x:c r="E32" s="2" t="s">
        <x:v>127</x:v>
      </x:c>
      <x:c r="F32" s="2" t="s">
        <x:v>36</x:v>
      </x:c>
      <x:c r="G32" s="2" t="s">
        <x:v>37</x:v>
      </x:c>
      <x:c r="H32" s="2" t="s">
        <x:v>38</x:v>
      </x:c>
      <x:c r="I32" s="2" t="s">
        <x:v>39</x:v>
      </x:c>
      <x:c r="J32" s="2" t="s">
        <x:v>41</x:v>
      </x:c>
      <x:c r="K32" s="2" t="s">
        <x:v>144</x:v>
      </x:c>
    </x:row>
    <x:row r="33">
      <x:c r="A33" t="s">
        <x:v>8</x:v>
      </x:c>
      <x:c r="B33" t="s">
        <x:v>7</x:v>
      </x:c>
      <x:c r="C33" t="s">
        <x:v>47</x:v>
      </x:c>
      <x:c r="D33">
        <x:v>1141</x:v>
      </x:c>
      <x:c r="E33" s="3" t="n">
        <x:f t="shared" ref="E33:E52" si="3">D33/$B$4</x:f>
        <x:v>0.240362334105751</x:v>
      </x:c>
      <x:c r="F33">
        <x:v>525</x:v>
      </x:c>
      <x:c r="G33">
        <x:v>520</x:v>
      </x:c>
      <x:c r="H33">
        <x:v>96</x:v>
      </x:c>
      <x:c r="I33" s="3" t="n">
        <x:f t="shared" ref="I33:I52" si="4">F33/D33</x:f>
        <x:v>0.4601226993865031</x:v>
      </x:c>
      <x:c r="J33" s="3" t="n">
        <x:f t="shared" ref="J33:J52" si="5">H33/D33</x:f>
        <x:v>0.08413672217353199</x:v>
      </x:c>
      <x:c r="K33" t="s">
        <x:v>129</x:v>
      </x:c>
    </x:row>
    <x:row r="34">
      <x:c r="A34" t="s">
        <x:v>8</x:v>
      </x:c>
      <x:c r="B34" t="s">
        <x:v>55</x:v>
      </x:c>
      <x:c r="C34" t="s">
        <x:v>56</x:v>
      </x:c>
      <x:c r="D34">
        <x:v>433</x:v>
      </x:c>
      <x:c r="E34" s="3">
        <x:f t="shared" si="3"/>
        <x:v>0.0912155045291763</x:v>
      </x:c>
      <x:c r="F34">
        <x:v>212</x:v>
      </x:c>
      <x:c r="G34">
        <x:v>211</x:v>
      </x:c>
      <x:c r="H34">
        <x:v>10</x:v>
      </x:c>
      <x:c r="I34" s="3">
        <x:f t="shared" si="4"/>
        <x:v>0.489607390300231</x:v>
      </x:c>
      <x:c r="J34" s="3">
        <x:f t="shared" si="5"/>
        <x:v>0.023094688221709</x:v>
      </x:c>
      <x:c r="K34" t="s">
        <x:v>129</x:v>
      </x:c>
    </x:row>
    <x:row r="35">
      <x:c r="A35" t="s">
        <x:v>8</x:v>
      </x:c>
      <x:c r="B35" t="s">
        <x:v>14</x:v>
      </x:c>
      <x:c r="C35" t="s">
        <x:v>56</x:v>
      </x:c>
      <x:c r="D35">
        <x:v>409</x:v>
      </x:c>
      <x:c r="E35" s="3">
        <x:f t="shared" si="3"/>
        <x:v>0.086159679797767</x:v>
      </x:c>
      <x:c r="F35">
        <x:v>157</x:v>
      </x:c>
      <x:c r="G35">
        <x:v>233</x:v>
      </x:c>
      <x:c r="H35">
        <x:v>19</x:v>
      </x:c>
      <x:c r="I35" s="3">
        <x:f t="shared" si="4"/>
        <x:v>0.383863080684597</x:v>
      </x:c>
      <x:c r="J35" s="3">
        <x:f t="shared" si="5"/>
        <x:v>0.0464547677261614</x:v>
      </x:c>
      <x:c r="K35" t="s">
        <x:v>129</x:v>
      </x:c>
    </x:row>
    <x:row r="36">
      <x:c r="A36" t="s">
        <x:v>28</x:v>
      </x:c>
      <x:c r="B36" t="s">
        <x:v>27</x:v>
      </x:c>
      <x:c r="C36" t="s">
        <x:v>51</x:v>
      </x:c>
      <x:c r="D36">
        <x:v>399</x:v>
      </x:c>
      <x:c r="E36" s="3">
        <x:f t="shared" si="3"/>
        <x:v>0.0840530861596798</x:v>
      </x:c>
      <x:c r="F36">
        <x:v>136</x:v>
      </x:c>
      <x:c r="G36">
        <x:v>252</x:v>
      </x:c>
      <x:c r="H36">
        <x:v>11</x:v>
      </x:c>
      <x:c r="I36" s="3">
        <x:f t="shared" si="4"/>
        <x:v>0.340852130325815</x:v>
      </x:c>
      <x:c r="J36" s="3">
        <x:f t="shared" si="5"/>
        <x:v>0.0275689223057644</x:v>
      </x:c>
      <x:c r="K36" t="s">
        <x:v>122</x:v>
      </x:c>
    </x:row>
    <x:row r="37">
      <x:c r="A37" t="s">
        <x:v>8</x:v>
      </x:c>
      <x:c r="B37" t="s">
        <x:v>11</x:v>
      </x:c>
      <x:c r="C37" t="s">
        <x:v>47</x:v>
      </x:c>
      <x:c r="D37">
        <x:v>316</x:v>
      </x:c>
      <x:c r="E37" s="3">
        <x:f t="shared" si="3"/>
        <x:v>0.0665683589635559</x:v>
      </x:c>
      <x:c r="F37">
        <x:v>157</x:v>
      </x:c>
      <x:c r="G37">
        <x:v>128</x:v>
      </x:c>
      <x:c r="H37">
        <x:v>31</x:v>
      </x:c>
      <x:c r="I37" s="3">
        <x:f t="shared" si="4"/>
        <x:v>0.496835443037975</x:v>
      </x:c>
      <x:c r="J37" s="3">
        <x:f t="shared" si="5"/>
        <x:v>0.0981012658227848</x:v>
      </x:c>
      <x:c r="K37" t="s">
        <x:v>129</x:v>
      </x:c>
    </x:row>
    <x:row r="38">
      <x:c r="A38" t="s">
        <x:v>21</x:v>
      </x:c>
      <x:c r="B38" t="s">
        <x:v>24</x:v>
      </x:c>
      <x:c r="C38" t="s">
        <x:v>56</x:v>
      </x:c>
      <x:c r="D38">
        <x:v>227</x:v>
      </x:c>
      <x:c r="E38" s="3">
        <x:f t="shared" si="3"/>
        <x:v>0.0478196755845797</x:v>
      </x:c>
      <x:c r="F38">
        <x:v>70</x:v>
      </x:c>
      <x:c r="G38">
        <x:v>153</x:v>
      </x:c>
      <x:c r="H38">
        <x:v>4</x:v>
      </x:c>
      <x:c r="I38" s="3">
        <x:f t="shared" si="4"/>
        <x:v>0.308370044052863</x:v>
      </x:c>
      <x:c r="J38" s="3">
        <x:f t="shared" si="5"/>
        <x:v>0.0176211453744493</x:v>
      </x:c>
      <x:c r="K38" t="s">
        <x:v>129</x:v>
      </x:c>
    </x:row>
    <x:row r="39">
      <x:c r="A39" t="s">
        <x:v>8</x:v>
      </x:c>
      <x:c r="B39" t="s">
        <x:v>7</x:v>
      </x:c>
      <x:c r="C39" t="s">
        <x:v>56</x:v>
      </x:c>
      <x:c r="D39">
        <x:v>200</x:v>
      </x:c>
      <x:c r="E39" s="3">
        <x:f t="shared" si="3"/>
        <x:v>0.0421318727617443</x:v>
      </x:c>
      <x:c r="F39">
        <x:v>98</x:v>
      </x:c>
      <x:c r="G39">
        <x:v>98</x:v>
      </x:c>
      <x:c r="H39">
        <x:v>4</x:v>
      </x:c>
      <x:c r="I39" s="3">
        <x:f t="shared" si="4"/>
        <x:v>0.49</x:v>
      </x:c>
      <x:c r="J39" s="3">
        <x:f t="shared" si="5"/>
        <x:v>0.02</x:v>
      </x:c>
      <x:c r="K39" t="s">
        <x:v>129</x:v>
      </x:c>
    </x:row>
    <x:row r="40">
      <x:c r="A40" t="s">
        <x:v>21</x:v>
      </x:c>
      <x:c r="B40" t="s">
        <x:v>20</x:v>
      </x:c>
      <x:c r="C40" t="s">
        <x:v>56</x:v>
      </x:c>
      <x:c r="D40">
        <x:v>164</x:v>
      </x:c>
      <x:c r="E40" s="3">
        <x:f t="shared" si="3"/>
        <x:v>0.0345481356646303</x:v>
      </x:c>
      <x:c r="F40">
        <x:v>57</x:v>
      </x:c>
      <x:c r="G40">
        <x:v>103</x:v>
      </x:c>
      <x:c r="H40">
        <x:v>4</x:v>
      </x:c>
      <x:c r="I40" s="3">
        <x:f t="shared" si="4"/>
        <x:v>0.347560975609756</x:v>
      </x:c>
      <x:c r="J40" s="3">
        <x:f t="shared" si="5"/>
        <x:v>0.024390243902439</x:v>
      </x:c>
      <x:c r="K40" t="s">
        <x:v>129</x:v>
      </x:c>
    </x:row>
    <x:row r="41">
      <x:c r="A41" t="s">
        <x:v>8</x:v>
      </x:c>
      <x:c r="B41" t="s">
        <x:v>7</x:v>
      </x:c>
      <x:c r="C41" t="s">
        <x:v>64</x:v>
      </x:c>
      <x:c r="D41">
        <x:v>140</x:v>
      </x:c>
      <x:c r="E41" s="3">
        <x:f t="shared" si="3"/>
        <x:v>0.029492310933221</x:v>
      </x:c>
      <x:c r="F41">
        <x:v>104</x:v>
      </x:c>
      <x:c r="G41">
        <x:v>32</x:v>
      </x:c>
      <x:c r="H41">
        <x:v>4</x:v>
      </x:c>
      <x:c r="I41" s="3">
        <x:f t="shared" si="4"/>
        <x:v>0.742857142857143</x:v>
      </x:c>
      <x:c r="J41" s="3">
        <x:f t="shared" si="5"/>
        <x:v>0.0285714285714286</x:v>
      </x:c>
      <x:c r="K41" t="s">
        <x:v>121</x:v>
      </x:c>
    </x:row>
    <x:row r="42">
      <x:c r="A42" t="s">
        <x:v>8</x:v>
      </x:c>
      <x:c r="B42" t="s">
        <x:v>68</x:v>
      </x:c>
      <x:c r="C42" t="s">
        <x:v>56</x:v>
      </x:c>
      <x:c r="D42">
        <x:v>132</x:v>
      </x:c>
      <x:c r="E42" s="3">
        <x:f t="shared" si="3"/>
        <x:v>0.0278070360227512</x:v>
      </x:c>
      <x:c r="F42">
        <x:v>37</x:v>
      </x:c>
      <x:c r="G42">
        <x:v>92</x:v>
      </x:c>
      <x:c r="H42">
        <x:v>3</x:v>
      </x:c>
      <x:c r="I42" s="3">
        <x:f t="shared" si="4"/>
        <x:v>0.28030303030303</x:v>
      </x:c>
      <x:c r="J42" s="3">
        <x:f t="shared" si="5"/>
        <x:v>0.0227272727272727</x:v>
      </x:c>
      <x:c r="K42" t="s">
        <x:v>129</x:v>
      </x:c>
    </x:row>
    <x:row r="43">
      <x:c r="A43" t="s">
        <x:v>8</x:v>
      </x:c>
      <x:c r="B43" t="s">
        <x:v>7</x:v>
      </x:c>
      <x:c r="C43" t="s">
        <x:v>51</x:v>
      </x:c>
      <x:c r="D43">
        <x:v>121</x:v>
      </x:c>
      <x:c r="E43" s="3">
        <x:f t="shared" si="3"/>
        <x:v>0.0254897830208553</x:v>
      </x:c>
      <x:c r="F43">
        <x:v>64</x:v>
      </x:c>
      <x:c r="G43">
        <x:v>51</x:v>
      </x:c>
      <x:c r="H43">
        <x:v>6</x:v>
      </x:c>
      <x:c r="I43" s="3">
        <x:f t="shared" si="4"/>
        <x:v>0.528925619834711</x:v>
      </x:c>
      <x:c r="J43" s="3">
        <x:f t="shared" si="5"/>
        <x:v>0.0495867768595041</x:v>
      </x:c>
      <x:c r="K43" t="s">
        <x:v>121</x:v>
      </x:c>
    </x:row>
    <x:row r="44">
      <x:c r="A44" t="s">
        <x:v>8</x:v>
      </x:c>
      <x:c r="B44" t="s">
        <x:v>17</x:v>
      </x:c>
      <x:c r="C44" t="s">
        <x:v>64</x:v>
      </x:c>
      <x:c r="D44">
        <x:v>116</x:v>
      </x:c>
      <x:c r="E44" s="3">
        <x:f t="shared" si="3"/>
        <x:v>0.0244364862018117</x:v>
      </x:c>
      <x:c r="F44">
        <x:v>42</x:v>
      </x:c>
      <x:c r="G44">
        <x:v>70</x:v>
      </x:c>
      <x:c r="H44">
        <x:v>4</x:v>
      </x:c>
      <x:c r="I44" s="3">
        <x:f t="shared" si="4"/>
        <x:v>0.362068965517241</x:v>
      </x:c>
      <x:c r="J44" s="3">
        <x:f t="shared" si="5"/>
        <x:v>0.0344827586206897</x:v>
      </x:c>
      <x:c r="K44" t="s">
        <x:v>129</x:v>
      </x:c>
    </x:row>
    <x:row r="45">
      <x:c r="A45" t="s">
        <x:v>28</x:v>
      </x:c>
      <x:c r="B45" t="s">
        <x:v>27</x:v>
      </x:c>
      <x:c r="C45" t="s">
        <x:v>64</x:v>
      </x:c>
      <x:c r="D45">
        <x:v>71</x:v>
      </x:c>
      <x:c r="E45" s="3">
        <x:f t="shared" si="3"/>
        <x:v>0.0149568148304192</x:v>
      </x:c>
      <x:c r="F45">
        <x:v>42</x:v>
      </x:c>
      <x:c r="G45">
        <x:v>28</x:v>
      </x:c>
      <x:c r="H45">
        <x:v>1</x:v>
      </x:c>
      <x:c r="I45" s="3">
        <x:f t="shared" si="4"/>
        <x:v>0.591549295774648</x:v>
      </x:c>
      <x:c r="J45" s="3">
        <x:f t="shared" si="5"/>
        <x:v>0.0140845070422535</x:v>
      </x:c>
      <x:c r="K45" t="s">
        <x:v>119</x:v>
      </x:c>
    </x:row>
    <x:row r="46">
      <x:c r="A46" t="s">
        <x:v>28</x:v>
      </x:c>
      <x:c r="B46" t="s">
        <x:v>27</x:v>
      </x:c>
      <x:c r="C46" t="s">
        <x:v>47</x:v>
      </x:c>
      <x:c r="D46">
        <x:v>69</x:v>
      </x:c>
      <x:c r="E46" s="3">
        <x:f t="shared" si="3"/>
        <x:v>0.0145354961028018</x:v>
      </x:c>
      <x:c r="F46">
        <x:v>54</x:v>
      </x:c>
      <x:c r="G46">
        <x:v>15</x:v>
      </x:c>
      <x:c r="H46">
        <x:v>0</x:v>
      </x:c>
      <x:c r="I46" s="3">
        <x:f t="shared" si="4"/>
        <x:v>0.782608695652174</x:v>
      </x:c>
      <x:c r="J46" s="3">
        <x:f t="shared" si="5"/>
        <x:v>0</x:v>
      </x:c>
      <x:c r="K46" t="s">
        <x:v>123</x:v>
      </x:c>
    </x:row>
    <x:row r="47">
      <x:c r="A47" t="s">
        <x:v>8</x:v>
      </x:c>
      <x:c r="B47" t="s">
        <x:v>11</x:v>
      </x:c>
      <x:c r="C47" t="s">
        <x:v>56</x:v>
      </x:c>
      <x:c r="D47">
        <x:v>62</x:v>
      </x:c>
      <x:c r="E47" s="3">
        <x:f t="shared" si="3"/>
        <x:v>0.0130608805561407</x:v>
      </x:c>
      <x:c r="F47">
        <x:v>23</x:v>
      </x:c>
      <x:c r="G47">
        <x:v>37</x:v>
      </x:c>
      <x:c r="H47">
        <x:v>2</x:v>
      </x:c>
      <x:c r="I47" s="3">
        <x:f t="shared" si="4"/>
        <x:v>0.370967741935484</x:v>
      </x:c>
      <x:c r="J47" s="3">
        <x:f t="shared" si="5"/>
        <x:v>0.032258064516129</x:v>
      </x:c>
      <x:c r="K47" t="s">
        <x:v>129</x:v>
      </x:c>
    </x:row>
    <x:row r="48">
      <x:c r="A48" t="s">
        <x:v>28</x:v>
      </x:c>
      <x:c r="B48" t="s">
        <x:v>27</x:v>
      </x:c>
      <x:c r="C48" t="s">
        <x:v>56</x:v>
      </x:c>
      <x:c r="D48">
        <x:v>52</x:v>
      </x:c>
      <x:c r="E48" s="3">
        <x:f t="shared" si="3"/>
        <x:v>0.0109542869180535</x:v>
      </x:c>
      <x:c r="F48">
        <x:v>32</x:v>
      </x:c>
      <x:c r="G48">
        <x:v>18</x:v>
      </x:c>
      <x:c r="H48">
        <x:v>2</x:v>
      </x:c>
      <x:c r="I48" s="3">
        <x:f t="shared" si="4"/>
        <x:v>0.615384615384615</x:v>
      </x:c>
      <x:c r="J48" s="3">
        <x:f t="shared" si="5"/>
        <x:v>0.0384615384615385</x:v>
      </x:c>
      <x:c r="K48" t="s">
        <x:v>129</x:v>
      </x:c>
    </x:row>
    <x:row r="49">
      <x:c r="A49" t="s">
        <x:v>8</x:v>
      </x:c>
      <x:c r="B49" t="s">
        <x:v>7</x:v>
      </x:c>
      <x:c r="C49" t="s">
        <x:v>132</x:v>
      </x:c>
      <x:c r="D49">
        <x:v>48</x:v>
      </x:c>
      <x:c r="E49" s="3">
        <x:f t="shared" si="3"/>
        <x:v>0.0101116494628186</x:v>
      </x:c>
      <x:c r="F49">
        <x:v>37</x:v>
      </x:c>
      <x:c r="G49">
        <x:v>10</x:v>
      </x:c>
      <x:c r="H49">
        <x:v>1</x:v>
      </x:c>
      <x:c r="I49" s="3">
        <x:f t="shared" si="4"/>
        <x:v>0.770833333333333</x:v>
      </x:c>
      <x:c r="J49" s="3">
        <x:f t="shared" si="5"/>
        <x:v>0.0208333333333333</x:v>
      </x:c>
      <x:c r="K49" t="s">
        <x:v>120</x:v>
      </x:c>
    </x:row>
    <x:row r="50">
      <x:c r="A50" t="s">
        <x:v>28</x:v>
      </x:c>
      <x:c r="B50" t="s">
        <x:v>27</x:v>
      </x:c>
      <x:c r="C50" t="s">
        <x:v>129</x:v>
      </x:c>
      <x:c r="D50">
        <x:v>40</x:v>
      </x:c>
      <x:c r="E50" s="3">
        <x:f t="shared" si="3"/>
        <x:v>0.00842637455234885</x:v>
      </x:c>
      <x:c r="F50">
        <x:v>0</x:v>
      </x:c>
      <x:c r="G50">
        <x:v>40</x:v>
      </x:c>
      <x:c r="H50">
        <x:v>0</x:v>
      </x:c>
      <x:c r="I50" s="3">
        <x:f t="shared" si="4"/>
        <x:v>0</x:v>
      </x:c>
      <x:c r="J50" s="3">
        <x:f t="shared" si="5"/>
        <x:v>0</x:v>
      </x:c>
      <x:c r="K50" t="s">
        <x:v>123</x:v>
      </x:c>
    </x:row>
    <x:row r="51">
      <x:c r="A51" t="s">
        <x:v>21</x:v>
      </x:c>
      <x:c r="B51" t="s">
        <x:v>20</x:v>
      </x:c>
      <x:c r="C51" t="s">
        <x:v>47</x:v>
      </x:c>
      <x:c r="D51">
        <x:v>38</x:v>
      </x:c>
      <x:c r="E51" s="3">
        <x:f t="shared" si="3"/>
        <x:v>0.00800505582473141</x:v>
      </x:c>
      <x:c r="F51">
        <x:v>34</x:v>
      </x:c>
      <x:c r="G51">
        <x:v>2</x:v>
      </x:c>
      <x:c r="H51">
        <x:v>2</x:v>
      </x:c>
      <x:c r="I51" s="3">
        <x:f t="shared" si="4"/>
        <x:v>0.894736842105263</x:v>
      </x:c>
      <x:c r="J51" s="3">
        <x:f t="shared" si="5"/>
        <x:v>0.0526315789473684</x:v>
      </x:c>
      <x:c r="K51" t="s">
        <x:v>129</x:v>
      </x:c>
    </x:row>
    <x:row r="52">
      <x:c r="A52" t="s">
        <x:v>8</x:v>
      </x:c>
      <x:c r="B52" t="s">
        <x:v>7</x:v>
      </x:c>
      <x:c r="C52" t="s">
        <x:v>111</x:v>
      </x:c>
      <x:c r="D52">
        <x:v>38</x:v>
      </x:c>
      <x:c r="E52" s="3">
        <x:f t="shared" si="3"/>
        <x:v>0.00800505582473141</x:v>
      </x:c>
      <x:c r="F52">
        <x:v>29</x:v>
      </x:c>
      <x:c r="G52">
        <x:v>8</x:v>
      </x:c>
      <x:c r="H52">
        <x:v>1</x:v>
      </x:c>
      <x:c r="I52" s="3">
        <x:f t="shared" si="4"/>
        <x:v>0.763157894736842</x:v>
      </x:c>
      <x:c r="J52" s="3">
        <x:f t="shared" si="5"/>
        <x:v>0.0263157894736842</x:v>
      </x:c>
      <x:c r="K52" t="s">
        <x:v>123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3" hidden="0" customWidth="1"/>
    <x:col min="4" max="4" width="30" hidden="0" customWidth="1"/>
    <x:col min="5" max="5" width="14" hidden="0" customWidth="1"/>
    <x:col min="6" max="6" width="48" hidden="0" customWidth="1"/>
  </x:cols>
  <x:sheetData>
    <x:row r="1" ht="30" customHeight="1">
      <x:c r="A1" s="10" t="str">
        <x:v>第一阶段：Kano 旧表复现核对</x:v>
      </x:c>
      <x:c r="B1" s="10"/>
      <x:c r="C1" s="10"/>
      <x:c r="D1" s="10"/>
      <x:c r="E1" s="10"/>
      <x:c r="F1" s="10"/>
    </x:row>
    <x:row r="3">
      <x:c r="A3" s="13" t="str">
        <x:v>项目</x:v>
      </x:c>
      <x:c r="B3" s="13" t="str">
        <x:v>内容</x:v>
      </x:c>
      <x:c r="D3" s="13" t="str">
        <x:v>核对项</x:v>
      </x:c>
      <x:c r="E3" s="13" t="str">
        <x:v>结果</x:v>
      </x:c>
      <x:c r="F3" s="13" t="str">
        <x:v>说明</x:v>
      </x:c>
    </x:row>
    <x:row r="4">
      <x:c r="A4" s="16" t="str">
        <x:v>输入数据</x:v>
      </x:c>
      <x:c r="B4" s="16" t="str">
        <x:v>data/processed/tagged-results-with-sentiment.xlsx</x:v>
      </x:c>
      <x:c r="D4" s="16" t="str">
        <x:v>全局分类频数</x:v>
      </x:c>
      <x:c r="E4" s="19" t="str">
        <x:v>PASS</x:v>
      </x:c>
      <x:c r="F4" s="16" t="str">
        <x:v>场景、美学、感知、情感频数全部一致</x:v>
      </x:c>
    </x:row>
    <x:row r="5">
      <x:c r="A5" s="16" t="str">
        <x:v>对照工作簿</x:v>
      </x:c>
      <x:c r="B5" s="16" t="str">
        <x:v>analysis/kano-pair-statistics.xlsx</x:v>
      </x:c>
      <x:c r="D5" s="16" t="str">
        <x:v>场景×美学×情感</x:v>
      </x:c>
      <x:c r="E5" s="19" t="str">
        <x:v>PASS</x:v>
      </x:c>
      <x:c r="F5" s="16" t="str">
        <x:v>全部组合计数一致</x:v>
      </x:c>
    </x:row>
    <x:row r="6">
      <x:c r="A6" s="16" t="str">
        <x:v>标签记录数</x:v>
      </x:c>
      <x:c r="B6" s="16" t="n">
        <x:v>4747</x:v>
      </x:c>
      <x:c r="D6" s="16" t="str">
        <x:v>场景×美学×感知×情感</x:v>
      </x:c>
      <x:c r="E6" s="19" t="str">
        <x:v>PASS</x:v>
      </x:c>
      <x:c r="F6" s="16" t="str">
        <x:v>词对明细 253 组，逐项核对</x:v>
      </x:c>
    </x:row>
    <x:row r="7">
      <x:c r="A7" s="16" t="str">
        <x:v>唯一原帖数</x:v>
      </x:c>
      <x:c r="B7" s="16" t="n">
        <x:v>425</x:v>
      </x:c>
      <x:c r="D7" s="16" t="str">
        <x:v>A/O/I/M 分类规则</x:v>
      </x:c>
      <x:c r="E7" s="22" t="str">
        <x:v>LEGACY</x:v>
      </x:c>
      <x:c r="F7" s="16" t="str">
        <x:v>旧表只有静态结果，未找到可执行阈值公式</x:v>
      </x:c>
    </x:row>
    <x:row r="8">
      <x:c r="A8" s="16" t="str">
        <x:v>每帖记录数中位数</x:v>
      </x:c>
      <x:c r="B8" s="16" t="n">
        <x:v>8</x:v>
      </x:c>
    </x:row>
    <x:row r="9">
      <x:c r="A9" s="16" t="str">
        <x:v>复现时间</x:v>
      </x:c>
      <x:c r="B9" s="16" t="str">
        <x:v>2026-09-16</x:v>
      </x:c>
    </x:row>
    <x:row r="11">
      <x:c r="A11" s="24" t="str">
        <x:v>方法学说明</x:v>
      </x:c>
      <x:c r="B11" s="24"/>
      <x:c r="C11" s="24"/>
      <x:c r="D11" s="24"/>
      <x:c r="E11" s="24"/>
      <x:c r="F11" s="24"/>
    </x:row>
    <x:row r="12">
      <x:c r="A12" s="44" t="str">
        <x:v>本文件是第一阶段的经审计基线。数值统计已从 4747 条标签数据独立重算，并与旧工作簿核对。当前 A/O/I/M 标签仅作为 legacy 映射保留，不声称是经典 Kano 问卷结果。第二阶段将建立公开、可配置的 Kano-inspired 规则与置信区间。</x:v>
      </x:c>
      <x:c r="B12" s="45"/>
      <x:c r="C12" s="45"/>
      <x:c r="D12" s="45"/>
      <x:c r="E12" s="45"/>
      <x:c r="F12" s="46"/>
    </x:row>
    <x:row r="13">
      <x:c r="A13" s="47"/>
      <x:c r="B13" s="48"/>
      <x:c r="C13" s="48"/>
      <x:c r="D13" s="48"/>
      <x:c r="E13" s="48"/>
      <x:c r="F13" s="49"/>
    </x:row>
    <x:row r="14">
      <x:c r="A14" s="47"/>
      <x:c r="B14" s="48"/>
      <x:c r="C14" s="48"/>
      <x:c r="D14" s="48"/>
      <x:c r="E14" s="48"/>
      <x:c r="F14" s="49"/>
    </x:row>
    <x:row r="15">
      <x:c r="A15" s="50"/>
      <x:c r="B15" s="51"/>
      <x:c r="C15" s="51"/>
      <x:c r="D15" s="51"/>
      <x:c r="E15" s="51"/>
      <x:c r="F15" s="52"/>
    </x:row>
  </x:sheetData>
  <x:mergeCells>
    <x:mergeCell ref="A1:F1"/>
    <x:mergeCell ref="A11:F11"/>
    <x:mergeCell ref="A12:F15"/>
  </x:mergeCells>
  <x:pageMargins left="0.7" right="0.7" top="0.75" bottom="0.75" header="0.3" footer="0.3"/>
</x:worksheet>
</file>