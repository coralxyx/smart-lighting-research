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e997ce80d44a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方法说明" sheetId="1" r:id="R6021e4bc38f244ec"/>
    <x:sheet xmlns:r="http://schemas.openxmlformats.org/officeDocument/2006/relationships" name="Kano_亲子互动陪伴" sheetId="2" r:id="R7d2ebd18decc4c2b"/>
    <x:sheet xmlns:r="http://schemas.openxmlformats.org/officeDocument/2006/relationships" name="Kano_日常基础照明" sheetId="3" r:id="Rdb1f28077a3143fa"/>
    <x:sheet xmlns:r="http://schemas.openxmlformats.org/officeDocument/2006/relationships" name="Kano_睡眠与起居" sheetId="4" r:id="Racadb85201594963"/>
    <x:sheet xmlns:r="http://schemas.openxmlformats.org/officeDocument/2006/relationships" name="Kano_休闲娱乐" sheetId="5" r:id="R349d8ad4fee64b8d"/>
    <x:sheet xmlns:r="http://schemas.openxmlformats.org/officeDocument/2006/relationships" name="Kano_学习工作" sheetId="6" r:id="Rc012ec9d2a804028"/>
    <x:sheet xmlns:r="http://schemas.openxmlformats.org/officeDocument/2006/relationships" name="Kano_智能托管" sheetId="7" r:id="Rb84aa8a6498445ae"/>
    <x:sheet xmlns:r="http://schemas.openxmlformats.org/officeDocument/2006/relationships" name="Kano汇总" sheetId="8" r:id="R364a7c26844645f9"/>
    <x:sheet xmlns:r="http://schemas.openxmlformats.org/officeDocument/2006/relationships" name="词对明细" sheetId="9" r:id="R7164ed6672c24d16"/>
    <x:sheet xmlns:r="http://schemas.openxmlformats.org/officeDocument/2006/relationships" name="全局统计" sheetId="10" r:id="Rb13d6ce40eea40f8"/>
    <x:sheet xmlns:r="http://schemas.openxmlformats.org/officeDocument/2006/relationships" name="复现对照" sheetId="11" r:id="R0fb03531ac7e41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6">
    <x:font>
      <x:sz val="11"/>
      <x:name val="Carlito"/>
    </x:font>
    <x:font>
      <x:b/>
      <x:sz val="15"/>
      <x:color rgb="FF20242A"/>
      <x:name val="Arial"/>
    </x:font>
    <x:font>
      <x:b/>
      <x:sz val="10"/>
      <x:color rgb="FFFFFFFF"/>
      <x:name val="Arial"/>
    </x:font>
    <x:font>
      <x:sz val="9"/>
      <x:color rgb="FF20242A"/>
      <x:name val="Arial"/>
    </x:font>
    <x:font>
      <x:b/>
      <x:sz val="10"/>
      <x:color rgb="FF20242A"/>
      <x:name val="Arial"/>
    </x:font>
    <x:font>
      <x:sz val="10"/>
      <x:color rgb="FF20242A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6">
    <x:border/>
    <x:border>
      <x:bottom style="medium">
        <x:color rgb="FF1F4E78"/>
      </x:bottom>
    </x:border>
    <x:border>
      <x:right style="thin">
        <x:color rgb="FFFFFFFF"/>
      </x:right>
      <x:bottom style="thin">
        <x:color rgb="FF1F4E78"/>
      </x:bottom>
    </x:border>
    <x:border>
      <x:left style="thin">
        <x:color rgb="FFFFFFFF"/>
      </x:left>
      <x:bottom style="thin">
        <x:color rgb="FF1F4E78"/>
      </x:bottom>
    </x:border>
    <x:border>
      <x:bottom style="thin">
        <x:color rgb="FFD9E1F2"/>
      </x:bottom>
    </x:border>
    <x:border>
      <x:left style="thin">
        <x:color rgb="FFFFFFFF"/>
      </x:left>
      <x:right style="thin">
        <x:color rgb="FFFFFFFF"/>
      </x:right>
      <x:bottom style="thin">
        <x:color rgb="FF1F4E78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4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2" fillId="2" borderId="5" xfId="0" applyNumberFormat="1" applyFont="1" applyFill="1" applyBorder="1"/>
    <x:xf numFmtId="0" fontId="2" fillId="2" borderId="5" xfId="0" applyNumberFormat="1" applyFont="1" applyFill="1" applyBorder="1" applyAlignment="1">
      <x:alignment wrapText="1"/>
    </x:xf>
    <x:xf numFmtId="0" fontId="2" fillId="2" borderId="5" xfId="0" applyNumberFormat="1" applyFont="1" applyFill="1" applyBorder="1" applyAlignment="1">
      <x:alignment horizontal="center" wrapText="1"/>
    </x:xf>
    <x:xf numFmtId="0" fontId="2" fillId="2" borderId="5" xfId="0" applyNumberFormat="1" applyFont="1" applyFill="1" applyBorder="1" applyAlignment="1">
      <x:alignment horizontal="center" vertical="center" wrapText="1"/>
    </x:xf>
    <x:xf numFmtId="200" fontId="3" fillId="0" borderId="0" xfId="0" applyNumberFormat="1" applyFont="1" applyFill="1" applyBorder="1" applyAlignment="1">
      <x:alignment vertical="top" wrapText="1"/>
    </x:xf>
    <x:xf numFmtId="200" fontId="3" fillId="0" borderId="4" xfId="0" applyNumberFormat="1" applyFont="1" applyFill="1" applyBorder="1" applyAlignment="1">
      <x:alignment vertical="top" wrapText="1"/>
    </x:xf>
    <x:xf numFmtId="201" fontId="3" fillId="0" borderId="0" xfId="0" applyNumberFormat="1" applyFont="1" applyFill="1" applyBorder="1" applyAlignment="1">
      <x:alignment vertical="top" wrapText="1"/>
    </x:xf>
    <x:xf numFmtId="201" fontId="3" fillId="0" borderId="4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0b47a5824f46bf" /><Relationship Type="http://schemas.openxmlformats.org/officeDocument/2006/relationships/theme" Target="/xl/theme/theme1.xml" Id="R3b7f8e92e56841e7" /><Relationship Type="http://schemas.openxmlformats.org/officeDocument/2006/relationships/sharedStrings" Target="/xl/sharedStrings.xml" Id="R4e46829ad0db4758" /><Relationship Type="http://schemas.openxmlformats.org/officeDocument/2006/relationships/worksheet" Target="/xl/worksheets/sheet1.xml" Id="R6021e4bc38f244ec" /><Relationship Type="http://schemas.openxmlformats.org/officeDocument/2006/relationships/worksheet" Target="/xl/worksheets/sheet2.xml" Id="R7d2ebd18decc4c2b" /><Relationship Type="http://schemas.openxmlformats.org/officeDocument/2006/relationships/worksheet" Target="/xl/worksheets/sheet3.xml" Id="Rdb1f28077a3143fa" /><Relationship Type="http://schemas.openxmlformats.org/officeDocument/2006/relationships/worksheet" Target="/xl/worksheets/sheet4.xml" Id="Racadb85201594963" /><Relationship Type="http://schemas.openxmlformats.org/officeDocument/2006/relationships/worksheet" Target="/xl/worksheets/sheet5.xml" Id="R349d8ad4fee64b8d" /><Relationship Type="http://schemas.openxmlformats.org/officeDocument/2006/relationships/worksheet" Target="/xl/worksheets/sheet6.xml" Id="Rc012ec9d2a804028" /><Relationship Type="http://schemas.openxmlformats.org/officeDocument/2006/relationships/worksheet" Target="/xl/worksheets/sheet7.xml" Id="Rb84aa8a6498445ae" /><Relationship Type="http://schemas.openxmlformats.org/officeDocument/2006/relationships/worksheet" Target="/xl/worksheets/sheet8.xml" Id="R364a7c26844645f9" /><Relationship Type="http://schemas.openxmlformats.org/officeDocument/2006/relationships/worksheet" Target="/xl/worksheets/sheet9.xml" Id="R7164ed6672c24d16" /><Relationship Type="http://schemas.openxmlformats.org/officeDocument/2006/relationships/worksheet" Target="/xl/worksheets/sheet10.xml" Id="Rb13d6ce40eea40f8" /><Relationship Type="http://schemas.openxmlformats.org/officeDocument/2006/relationships/worksheet" Target="/xl/worksheets/sheet11.xml" Id="R0fb03531ac7e414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8" hidden="0" customWidth="1"/>
    <x:col min="3" max="3" width="4" hidden="0" customWidth="1"/>
    <x:col min="4" max="4" width="24" hidden="0" customWidth="1"/>
    <x:col min="5" max="5" width="28" hidden="0" customWidth="1"/>
  </x:cols>
  <x:sheetData>
    <x:row r="1" ht="27" customHeight="1">
      <x:c r="A1" s="3" t="str">
        <x:v>Kano-inspired 旧表复现说明</x:v>
      </x:c>
      <x:c r="B1" s="3" t="str">
        <x:v>Kano-inspired 旧表复现说明</x:v>
      </x:c>
      <x:c r="C1" s="3" t="str">
        <x:v>Kano-inspired 旧表复现说明</x:v>
      </x:c>
      <x:c r="D1" s="3" t="str">
        <x:v>Kano-inspired 旧表复现说明</x:v>
      </x:c>
      <x:c r="E1" s="3" t="str">
        <x:v>Kano-inspired 旧表复现说明</x:v>
      </x:c>
    </x:row>
    <x:row r="3" ht="28" customHeight="1">
      <x:c r="A3" s="12" t="str">
        <x:v>项目</x:v>
      </x:c>
      <x:c r="B3" s="13" t="str">
        <x:v>说明</x:v>
      </x:c>
      <x:c r="D3" s="12" t="str">
        <x:v>标准美学指标</x:v>
      </x:c>
      <x:c r="E3" s="13" t="str">
        <x:v>触点类型</x:v>
      </x:c>
    </x:row>
    <x:row r="4">
      <x:c r="A4" s="18" t="str">
        <x:v>分析对象</x:v>
      </x:c>
      <x:c r="B4" s="18" t="str">
        <x:v>标签表中的使用场景、标准美学指标、用户感受和情感强度。</x:v>
      </x:c>
      <x:c r="D4" s="18" t="str">
        <x:v>材料质感</x:v>
      </x:c>
      <x:c r="E4" s="18" t="str">
        <x:v>触觉/近身质感触点</x:v>
      </x:c>
    </x:row>
    <x:row r="5">
      <x:c r="A5" s="18" t="str">
        <x:v>统计单位</x:v>
      </x:c>
      <x:c r="B5" s="18" t="str">
        <x:v>每条抽取记录作为一个统计单位；帖子级去重将在 Kano-inspired v2 中实现。</x:v>
      </x:c>
      <x:c r="D5" s="18" t="str">
        <x:v>风格设计</x:v>
      </x:c>
      <x:c r="E5" s="18" t="str">
        <x:v>视觉触点</x:v>
      </x:c>
    </x:row>
    <x:row r="6">
      <x:c r="A6" s="18" t="str">
        <x:v>词对</x:v>
      </x:c>
      <x:c r="B6" s="18" t="str">
        <x:v>使用场景 × 标准美学指标 × 用户感受。</x:v>
      </x:c>
      <x:c r="D6" s="18" t="str">
        <x:v>交互功能</x:v>
      </x:c>
      <x:c r="E6" s="18" t="str">
        <x:v>操作交互触点</x:v>
      </x:c>
    </x:row>
    <x:row r="7">
      <x:c r="A7" s="18" t="str">
        <x:v>A/O/I/M 分类</x:v>
      </x:c>
      <x:c r="B7" s="18" t="str">
        <x:v>A/O/I/M 为旧工作簿静态结果；旧文件未保存可执行阈值公式。</x:v>
      </x:c>
      <x:c r="D7" s="18" t="str">
        <x:v>空间氛围</x:v>
      </x:c>
      <x:c r="E7" s="18" t="str">
        <x:v>视觉触点</x:v>
      </x:c>
    </x:row>
    <x:row r="8">
      <x:c r="A8" s="18" t="str">
        <x:v>方法名称</x:v>
      </x:c>
      <x:c r="B8" s="18" t="str">
        <x:v>基于 UGC 情感分布的 Kano-inspired 需求优先级分析（旧表复现版）</x:v>
      </x:c>
      <x:c r="D8" s="18" t="str">
        <x:v>色彩</x:v>
      </x:c>
      <x:c r="E8" s="18" t="str">
        <x:v>视觉触点</x:v>
      </x:c>
    </x:row>
    <x:row r="9">
      <x:c r="A9" s="18" t="str">
        <x:v>输入文件</x:v>
      </x:c>
      <x:c r="B9" s="18" t="str">
        <x:v>tagged-results-with-sentiment.xlsx</x:v>
      </x:c>
      <x:c r="D9" s="18" t="str">
        <x:v>视觉舒适</x:v>
      </x:c>
      <x:c r="E9" s="18" t="str">
        <x:v>视觉触点</x:v>
      </x:c>
    </x:row>
    <x:row r="10">
      <x:c r="A10" s="19" t="str">
        <x:v>旧表参考</x:v>
      </x:c>
      <x:c r="B10" s="19" t="str">
        <x:v>kano-pair-statistics.xlsx</x:v>
      </x:c>
      <x:c r="D10" s="18" t="str">
        <x:v>形体造型</x:v>
      </x:c>
      <x:c r="E10" s="18" t="str">
        <x:v>视觉触点</x:v>
      </x:c>
    </x:row>
    <x:row r="11">
      <x:c r="D11" s="18" t="str">
        <x:v>照明与色调</x:v>
      </x:c>
      <x:c r="E11" s="18" t="str">
        <x:v>视觉触点</x:v>
      </x:c>
    </x:row>
    <x:row r="12">
      <x:c r="D12" s="19" t="str">
        <x:v>做工细节</x:v>
      </x:c>
      <x:c r="E12" s="19" t="str">
        <x:v>触觉/近身质感触点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23" hidden="0" customWidth="1"/>
    <x:col min="3" max="3" width="12" hidden="0" customWidth="1"/>
    <x:col min="4" max="4" width="14" hidden="0" customWidth="1"/>
    <x:col min="5" max="5" width="10" hidden="0" customWidth="1"/>
    <x:col min="6" max="6" width="10" hidden="0" customWidth="1"/>
    <x:col min="7" max="7" width="10" hidden="0" customWidth="1"/>
    <x:col min="8" max="8" width="11" hidden="0" customWidth="1"/>
    <x:col min="9" max="9" width="11" hidden="0" customWidth="1"/>
    <x:col min="10" max="10" width="11" hidden="0" customWidth="1"/>
    <x:col min="11" max="11" width="20" hidden="0" customWidth="1"/>
    <x:col min="12" max="12" width="55" hidden="0" customWidth="1"/>
    <x:col min="13" max="13" width="23" hidden="0" customWidth="1"/>
    <x:col min="14" max="14" width="22" hidden="0" customWidth="1"/>
    <x:col min="15" max="15" width="52" hidden="0" customWidth="1"/>
  </x:cols>
  <x:sheetData>
    <x:row r="1" ht="27" customHeight="1">
      <x:c r="A1" s="3" t="str">
        <x:v>亲子互动陪伴｜Kano 触点分析表</x:v>
      </x:c>
      <x:c r="B1" s="3" t="str">
        <x:v>亲子互动陪伴｜Kano 触点分析表</x:v>
      </x:c>
      <x:c r="C1" s="3" t="str">
        <x:v>亲子互动陪伴｜Kano 触点分析表</x:v>
      </x:c>
      <x:c r="D1" s="3" t="str">
        <x:v>亲子互动陪伴｜Kano 触点分析表</x:v>
      </x:c>
      <x:c r="E1" s="3" t="str">
        <x:v>亲子互动陪伴｜Kano 触点分析表</x:v>
      </x:c>
      <x:c r="F1" s="3" t="str">
        <x:v>亲子互动陪伴｜Kano 触点分析表</x:v>
      </x:c>
      <x:c r="G1" s="3" t="str">
        <x:v>亲子互动陪伴｜Kano 触点分析表</x:v>
      </x:c>
      <x:c r="H1" s="3" t="str">
        <x:v>亲子互动陪伴｜Kano 触点分析表</x:v>
      </x:c>
      <x:c r="I1" s="3" t="str">
        <x:v>亲子互动陪伴｜Kano 触点分析表</x:v>
      </x:c>
      <x:c r="J1" s="3" t="str">
        <x:v>亲子互动陪伴｜Kano 触点分析表</x:v>
      </x:c>
      <x:c r="K1" s="3" t="str">
        <x:v>亲子互动陪伴｜Kano 触点分析表</x:v>
      </x:c>
      <x:c r="L1" s="3" t="str">
        <x:v>亲子互动陪伴｜Kano 触点分析表</x:v>
      </x:c>
      <x:c r="M1" s="3" t="str">
        <x:v>亲子互动陪伴｜Kano 触点分析表</x:v>
      </x:c>
      <x:c r="N1" s="3" t="str">
        <x:v>亲子互动陪伴｜Kano 触点分析表</x:v>
      </x:c>
      <x:c r="O1" s="3" t="str">
        <x:v>亲子互动陪伴｜Kano 触点分析表</x:v>
      </x:c>
    </x:row>
    <x:row r="2">
      <x:c r="A2" s="21" t="str">
        <x:v>场景总提及频次</x:v>
      </x:c>
      <x:c r="B2" s="21" t="n">
        <x:v>64</x:v>
      </x:c>
    </x:row>
    <x:row r="4" ht="28" customHeight="1">
      <x:c r="A4" s="12" t="str">
        <x:v>触点类型</x:v>
      </x:c>
      <x:c r="B4" s="25" t="str">
        <x:v>标准美学指标</x:v>
      </x:c>
      <x:c r="C4" s="25" t="str">
        <x:v>提及频次</x:v>
      </x:c>
      <x:c r="D4" s="25" t="str">
        <x:v>场景内占比</x:v>
      </x:c>
      <x:c r="E4" s="25" t="str">
        <x:v>正向数</x:v>
      </x:c>
      <x:c r="F4" s="25" t="str">
        <x:v>中性数</x:v>
      </x:c>
      <x:c r="G4" s="25" t="str">
        <x:v>负向数</x:v>
      </x:c>
      <x:c r="H4" s="25" t="str">
        <x:v>正向率</x:v>
      </x:c>
      <x:c r="I4" s="25" t="str">
        <x:v>中性率</x:v>
      </x:c>
      <x:c r="J4" s="25" t="str">
        <x:v>负向率</x:v>
      </x:c>
      <x:c r="K4" s="25" t="str">
        <x:v>主要用户感受</x:v>
      </x:c>
      <x:c r="L4" s="25" t="str">
        <x:v>用户感受占比分布</x:v>
      </x:c>
      <x:c r="M4" s="25" t="str">
        <x:v>Kano分类（legacy）</x:v>
      </x:c>
      <x:c r="N4" s="25" t="str">
        <x:v>设计优先级（legacy）</x:v>
      </x:c>
      <x:c r="O4" s="13" t="str">
        <x:v>设计含义/建议（legacy）</x:v>
      </x:c>
    </x:row>
    <x:row r="5">
      <x:c r="A5" s="18" t="str">
        <x:v>视觉触点</x:v>
      </x:c>
      <x:c r="B5" s="18" t="str">
        <x:v>照明与色调</x:v>
      </x:c>
      <x:c r="C5" s="26" t="n">
        <x:v>28</x:v>
      </x:c>
      <x:c r="D5" s="28" t="n">
        <x:f>C5/$B$2</x:f>
        <x:v>0.4375</x:v>
      </x:c>
      <x:c r="E5" s="26" t="n">
        <x:v>15</x:v>
      </x:c>
      <x:c r="F5" s="26" t="n">
        <x:v>7</x:v>
      </x:c>
      <x:c r="G5" s="26" t="n">
        <x:v>6</x:v>
      </x:c>
      <x:c r="H5" s="28" t="n">
        <x:f>E5/C5</x:f>
        <x:v>0.5357142857142857</x:v>
      </x:c>
      <x:c r="I5" s="28" t="n">
        <x:f>F5/C5</x:f>
        <x:v>0.25</x:v>
      </x:c>
      <x:c r="J5" s="28" t="n">
        <x:f>G5/C5</x:f>
        <x:v>0.21428571428571427</x:v>
      </x:c>
      <x:c r="K5" s="18" t="str">
        <x:v>舒适感</x:v>
      </x:c>
      <x:c r="L5" s="18" t="str">
        <x:v>舒适感 78.6%；安全感 7.1%；愉悦与氛围感 7.1%；专注 3.6%；其他 3.6%</x:v>
      </x:c>
      <x:c r="M5" s="18" t="str">
        <x:v>期望型（O）</x:v>
      </x:c>
      <x:c r="N5" s="18" t="str">
        <x:v>重点优化</x:v>
      </x:c>
      <x:c r="O5" s="18" t="str">
        <x:v>持续提升一致性，做得越好越能提高满意度。</x:v>
      </x:c>
    </x:row>
    <x:row r="6">
      <x:c r="A6" s="18" t="str">
        <x:v>操作交互触点</x:v>
      </x:c>
      <x:c r="B6" s="18" t="str">
        <x:v>交互功能</x:v>
      </x:c>
      <x:c r="C6" s="26" t="n">
        <x:v>14</x:v>
      </x:c>
      <x:c r="D6" s="28" t="n">
        <x:f>C6/$B$2</x:f>
        <x:v>0.21875</x:v>
      </x:c>
      <x:c r="E6" s="26" t="n">
        <x:v>9</x:v>
      </x:c>
      <x:c r="F6" s="26" t="n">
        <x:v>5</x:v>
      </x:c>
      <x:c r="G6" s="26" t="n">
        <x:v>0</x:v>
      </x:c>
      <x:c r="H6" s="28" t="n">
        <x:f>E6/C6</x:f>
        <x:v>0.6428571428571429</x:v>
      </x:c>
      <x:c r="I6" s="28" t="n">
        <x:f>F6/C6</x:f>
        <x:v>0.35714285714285715</x:v>
      </x:c>
      <x:c r="J6" s="28" t="n">
        <x:f>G6/C6</x:f>
        <x:v>0</x:v>
      </x:c>
      <x:c r="K6" s="18" t="str">
        <x:v>便捷性</x:v>
      </x:c>
      <x:c r="L6" s="18" t="str">
        <x:v>便捷性 42.9%；愉悦与氛围感 21.4%；安全感 14.3%；舒适感 14.3%；其他 7.1%</x:v>
      </x:c>
      <x:c r="M6" s="18" t="str">
        <x:v>魅力型（A）</x:v>
      </x:c>
      <x:c r="N6" s="18" t="str">
        <x:v>强化为卖点</x:v>
      </x:c>
      <x:c r="O6" s="18" t="str">
        <x:v>可作为感知亮点展示，增强记忆点与差异化。</x:v>
      </x:c>
    </x:row>
    <x:row r="7">
      <x:c r="A7" s="18" t="str">
        <x:v>视觉触点</x:v>
      </x:c>
      <x:c r="B7" s="18" t="str">
        <x:v>视觉舒适</x:v>
      </x:c>
      <x:c r="C7" s="26" t="n">
        <x:v>9</x:v>
      </x:c>
      <x:c r="D7" s="28" t="n">
        <x:f>C7/$B$2</x:f>
        <x:v>0.140625</x:v>
      </x:c>
      <x:c r="E7" s="26" t="n">
        <x:v>6</x:v>
      </x:c>
      <x:c r="F7" s="26" t="n">
        <x:v>2</x:v>
      </x:c>
      <x:c r="G7" s="26" t="n">
        <x:v>1</x:v>
      </x:c>
      <x:c r="H7" s="28" t="n">
        <x:f>E7/C7</x:f>
        <x:v>0.6666666666666666</x:v>
      </x:c>
      <x:c r="I7" s="28" t="n">
        <x:f>F7/C7</x:f>
        <x:v>0.2222222222222222</x:v>
      </x:c>
      <x:c r="J7" s="28" t="n">
        <x:f>G7/C7</x:f>
        <x:v>0.1111111111111111</x:v>
      </x:c>
      <x:c r="K7" s="18" t="str">
        <x:v>安全感</x:v>
      </x:c>
      <x:c r="L7" s="18" t="str">
        <x:v>安全感 44.4%；舒适感 33.3%；便捷性 11.1%；专注 11.1%</x:v>
      </x:c>
      <x:c r="M7" s="18" t="str">
        <x:v>期望型（O）</x:v>
      </x:c>
      <x:c r="N7" s="18" t="str">
        <x:v>重点优化</x:v>
      </x:c>
      <x:c r="O7" s="18" t="str">
        <x:v>持续提升一致性，做得越好越能提高满意度。</x:v>
      </x:c>
    </x:row>
    <x:row r="8">
      <x:c r="A8" s="18" t="str">
        <x:v>视觉触点</x:v>
      </x:c>
      <x:c r="B8" s="18" t="str">
        <x:v>风格设计</x:v>
      </x:c>
      <x:c r="C8" s="26" t="n">
        <x:v>5</x:v>
      </x:c>
      <x:c r="D8" s="28" t="n">
        <x:f>C8/$B$2</x:f>
        <x:v>0.078125</x:v>
      </x:c>
      <x:c r="E8" s="26" t="n">
        <x:v>3</x:v>
      </x:c>
      <x:c r="F8" s="26" t="n">
        <x:v>2</x:v>
      </x:c>
      <x:c r="G8" s="26" t="n">
        <x:v>0</x:v>
      </x:c>
      <x:c r="H8" s="28" t="n">
        <x:f>E8/C8</x:f>
        <x:v>0.6</x:v>
      </x:c>
      <x:c r="I8" s="28" t="n">
        <x:f>F8/C8</x:f>
        <x:v>0.4</x:v>
      </x:c>
      <x:c r="J8" s="28" t="n">
        <x:f>G8/C8</x:f>
        <x:v>0</x:v>
      </x:c>
      <x:c r="K8" s="18" t="str">
        <x:v>美观与价值感</x:v>
      </x:c>
      <x:c r="L8" s="18" t="str">
        <x:v>美观与价值感 60.0%；愉悦与氛围感 40.0%</x:v>
      </x:c>
      <x:c r="M8" s="18" t="str">
        <x:v>魅力型（A）</x:v>
      </x:c>
      <x:c r="N8" s="18" t="str">
        <x:v>强化为卖点</x:v>
      </x:c>
      <x:c r="O8" s="18" t="str">
        <x:v>可作为感知亮点展示，增强记忆点与差异化。</x:v>
      </x:c>
    </x:row>
    <x:row r="9">
      <x:c r="A9" s="18" t="str">
        <x:v>视觉触点</x:v>
      </x:c>
      <x:c r="B9" s="18" t="str">
        <x:v>色彩</x:v>
      </x:c>
      <x:c r="C9" s="26" t="n">
        <x:v>4</x:v>
      </x:c>
      <x:c r="D9" s="28" t="n">
        <x:f>C9/$B$2</x:f>
        <x:v>0.0625</x:v>
      </x:c>
      <x:c r="E9" s="26" t="n">
        <x:v>1</x:v>
      </x:c>
      <x:c r="F9" s="26" t="n">
        <x:v>3</x:v>
      </x:c>
      <x:c r="G9" s="26" t="n">
        <x:v>0</x:v>
      </x:c>
      <x:c r="H9" s="28" t="n">
        <x:f>E9/C9</x:f>
        <x:v>0.25</x:v>
      </x:c>
      <x:c r="I9" s="28" t="n">
        <x:f>F9/C9</x:f>
        <x:v>0.75</x:v>
      </x:c>
      <x:c r="J9" s="28" t="n">
        <x:f>G9/C9</x:f>
        <x:v>0</x:v>
      </x:c>
      <x:c r="K9" s="18" t="str">
        <x:v>美观与价值感</x:v>
      </x:c>
      <x:c r="L9" s="18" t="str">
        <x:v>美观与价值感 75.0%；舒适感 25.0%</x:v>
      </x:c>
      <x:c r="M9" s="18" t="str">
        <x:v>样本不足（待验证）</x:v>
      </x:c>
      <x:c r="N9" s="18" t="str">
        <x:v>补样本验证</x:v>
      </x:c>
      <x:c r="O9" s="18" t="str">
        <x:v>当前样本量偏低，需要结合访谈或补充评论验证。</x:v>
      </x:c>
    </x:row>
    <x:row r="10">
      <x:c r="A10" s="18" t="str">
        <x:v>视觉触点</x:v>
      </x:c>
      <x:c r="B10" s="18" t="str">
        <x:v>形体造型</x:v>
      </x:c>
      <x:c r="C10" s="26" t="n">
        <x:v>3</x:v>
      </x:c>
      <x:c r="D10" s="28" t="n">
        <x:f>C10/$B$2</x:f>
        <x:v>0.046875</x:v>
      </x:c>
      <x:c r="E10" s="26" t="n">
        <x:v>1</x:v>
      </x:c>
      <x:c r="F10" s="26" t="n">
        <x:v>2</x:v>
      </x:c>
      <x:c r="G10" s="26" t="n">
        <x:v>0</x:v>
      </x:c>
      <x:c r="H10" s="28" t="n">
        <x:f>E10/C10</x:f>
        <x:v>0.3333333333333333</x:v>
      </x:c>
      <x:c r="I10" s="28" t="n">
        <x:f>F10/C10</x:f>
        <x:v>0.6666666666666666</x:v>
      </x:c>
      <x:c r="J10" s="28" t="n">
        <x:f>G10/C10</x:f>
        <x:v>0</x:v>
      </x:c>
      <x:c r="K10" s="18" t="str">
        <x:v>美观与价值感</x:v>
      </x:c>
      <x:c r="L10" s="18" t="str">
        <x:v>美观与价值感 66.7%；愉悦与氛围感 33.3%</x:v>
      </x:c>
      <x:c r="M10" s="18" t="str">
        <x:v>样本不足（待验证）</x:v>
      </x:c>
      <x:c r="N10" s="18" t="str">
        <x:v>补样本验证</x:v>
      </x:c>
      <x:c r="O10" s="18" t="str">
        <x:v>当前样本量偏低，需要结合访谈或补充评论验证。</x:v>
      </x:c>
    </x:row>
    <x:row r="11">
      <x:c r="A11" s="19" t="str">
        <x:v>视觉触点</x:v>
      </x:c>
      <x:c r="B11" s="19" t="str">
        <x:v>空间氛围</x:v>
      </x:c>
      <x:c r="C11" s="27" t="n">
        <x:v>1</x:v>
      </x:c>
      <x:c r="D11" s="29" t="n">
        <x:f>C11/$B$2</x:f>
        <x:v>0.015625</x:v>
      </x:c>
      <x:c r="E11" s="27" t="n">
        <x:v>1</x:v>
      </x:c>
      <x:c r="F11" s="27" t="n">
        <x:v>0</x:v>
      </x:c>
      <x:c r="G11" s="27" t="n">
        <x:v>0</x:v>
      </x:c>
      <x:c r="H11" s="29" t="n">
        <x:f>E11/C11</x:f>
        <x:v>1</x:v>
      </x:c>
      <x:c r="I11" s="29" t="n">
        <x:f>F11/C11</x:f>
        <x:v>0</x:v>
      </x:c>
      <x:c r="J11" s="29" t="n">
        <x:f>G11/C11</x:f>
        <x:v>0</x:v>
      </x:c>
      <x:c r="K11" s="19" t="str">
        <x:v>愉悦与氛围感</x:v>
      </x:c>
      <x:c r="L11" s="19" t="str">
        <x:v>愉悦与氛围感 100.0%</x:v>
      </x:c>
      <x:c r="M11" s="19" t="str">
        <x:v>样本不足（待验证）</x:v>
      </x:c>
      <x:c r="N11" s="19" t="str">
        <x:v>补样本验证</x:v>
      </x:c>
      <x:c r="O11" s="19" t="str">
        <x:v>当前样本量偏低，需要结合访谈或补充评论验证。</x:v>
      </x:c>
    </x:row>
  </x:sheetData>
  <x:mergeCells>
    <x:mergeCell ref="A1:O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23" hidden="0" customWidth="1"/>
    <x:col min="3" max="3" width="12" hidden="0" customWidth="1"/>
    <x:col min="4" max="4" width="14" hidden="0" customWidth="1"/>
    <x:col min="5" max="5" width="10" hidden="0" customWidth="1"/>
    <x:col min="6" max="6" width="10" hidden="0" customWidth="1"/>
    <x:col min="7" max="7" width="10" hidden="0" customWidth="1"/>
    <x:col min="8" max="8" width="11" hidden="0" customWidth="1"/>
    <x:col min="9" max="9" width="11" hidden="0" customWidth="1"/>
    <x:col min="10" max="10" width="11" hidden="0" customWidth="1"/>
    <x:col min="11" max="11" width="20" hidden="0" customWidth="1"/>
    <x:col min="12" max="12" width="55" hidden="0" customWidth="1"/>
    <x:col min="13" max="13" width="23" hidden="0" customWidth="1"/>
    <x:col min="14" max="14" width="22" hidden="0" customWidth="1"/>
    <x:col min="15" max="15" width="52" hidden="0" customWidth="1"/>
  </x:cols>
  <x:sheetData>
    <x:row r="1" ht="27" customHeight="1">
      <x:c r="A1" s="3" t="str">
        <x:v>日常基础照明｜Kano 触点分析表</x:v>
      </x:c>
      <x:c r="B1" s="3" t="str">
        <x:v>日常基础照明｜Kano 触点分析表</x:v>
      </x:c>
      <x:c r="C1" s="3" t="str">
        <x:v>日常基础照明｜Kano 触点分析表</x:v>
      </x:c>
      <x:c r="D1" s="3" t="str">
        <x:v>日常基础照明｜Kano 触点分析表</x:v>
      </x:c>
      <x:c r="E1" s="3" t="str">
        <x:v>日常基础照明｜Kano 触点分析表</x:v>
      </x:c>
      <x:c r="F1" s="3" t="str">
        <x:v>日常基础照明｜Kano 触点分析表</x:v>
      </x:c>
      <x:c r="G1" s="3" t="str">
        <x:v>日常基础照明｜Kano 触点分析表</x:v>
      </x:c>
      <x:c r="H1" s="3" t="str">
        <x:v>日常基础照明｜Kano 触点分析表</x:v>
      </x:c>
      <x:c r="I1" s="3" t="str">
        <x:v>日常基础照明｜Kano 触点分析表</x:v>
      </x:c>
      <x:c r="J1" s="3" t="str">
        <x:v>日常基础照明｜Kano 触点分析表</x:v>
      </x:c>
      <x:c r="K1" s="3" t="str">
        <x:v>日常基础照明｜Kano 触点分析表</x:v>
      </x:c>
      <x:c r="L1" s="3" t="str">
        <x:v>日常基础照明｜Kano 触点分析表</x:v>
      </x:c>
      <x:c r="M1" s="3" t="str">
        <x:v>日常基础照明｜Kano 触点分析表</x:v>
      </x:c>
      <x:c r="N1" s="3" t="str">
        <x:v>日常基础照明｜Kano 触点分析表</x:v>
      </x:c>
      <x:c r="O1" s="3" t="str">
        <x:v>日常基础照明｜Kano 触点分析表</x:v>
      </x:c>
    </x:row>
    <x:row r="2">
      <x:c r="A2" s="21" t="str">
        <x:v>场景总提及频次</x:v>
      </x:c>
      <x:c r="B2" s="21" t="n">
        <x:v>1093</x:v>
      </x:c>
    </x:row>
    <x:row r="4" ht="28" customHeight="1">
      <x:c r="A4" s="12" t="str">
        <x:v>触点类型</x:v>
      </x:c>
      <x:c r="B4" s="25" t="str">
        <x:v>标准美学指标</x:v>
      </x:c>
      <x:c r="C4" s="25" t="str">
        <x:v>提及频次</x:v>
      </x:c>
      <x:c r="D4" s="25" t="str">
        <x:v>场景内占比</x:v>
      </x:c>
      <x:c r="E4" s="25" t="str">
        <x:v>正向数</x:v>
      </x:c>
      <x:c r="F4" s="25" t="str">
        <x:v>中性数</x:v>
      </x:c>
      <x:c r="G4" s="25" t="str">
        <x:v>负向数</x:v>
      </x:c>
      <x:c r="H4" s="25" t="str">
        <x:v>正向率</x:v>
      </x:c>
      <x:c r="I4" s="25" t="str">
        <x:v>中性率</x:v>
      </x:c>
      <x:c r="J4" s="25" t="str">
        <x:v>负向率</x:v>
      </x:c>
      <x:c r="K4" s="25" t="str">
        <x:v>主要用户感受</x:v>
      </x:c>
      <x:c r="L4" s="25" t="str">
        <x:v>用户感受占比分布</x:v>
      </x:c>
      <x:c r="M4" s="25" t="str">
        <x:v>Kano分类（legacy）</x:v>
      </x:c>
      <x:c r="N4" s="25" t="str">
        <x:v>设计优先级（legacy）</x:v>
      </x:c>
      <x:c r="O4" s="13" t="str">
        <x:v>设计含义/建议（legacy）</x:v>
      </x:c>
    </x:row>
    <x:row r="5">
      <x:c r="A5" s="18" t="str">
        <x:v>视觉触点</x:v>
      </x:c>
      <x:c r="B5" s="18" t="str">
        <x:v>照明与色调</x:v>
      </x:c>
      <x:c r="C5" s="26" t="n">
        <x:v>437</x:v>
      </x:c>
      <x:c r="D5" s="28" t="n">
        <x:f>C5/$B$2</x:f>
        <x:v>0.39981701738334857</x:v>
      </x:c>
      <x:c r="E5" s="26" t="n">
        <x:v>218</x:v>
      </x:c>
      <x:c r="F5" s="26" t="n">
        <x:v>194</x:v>
      </x:c>
      <x:c r="G5" s="26" t="n">
        <x:v>25</x:v>
      </x:c>
      <x:c r="H5" s="28" t="n">
        <x:f>E5/C5</x:f>
        <x:v>0.4988558352402746</x:v>
      </x:c>
      <x:c r="I5" s="28" t="n">
        <x:f>F5/C5</x:f>
        <x:v>0.4439359267734554</x:v>
      </x:c>
      <x:c r="J5" s="28" t="n">
        <x:f>G5/C5</x:f>
        <x:v>0.057208237986270026</x:v>
      </x:c>
      <x:c r="K5" s="18" t="str">
        <x:v>舒适感</x:v>
      </x:c>
      <x:c r="L5" s="18" t="str">
        <x:v>舒适感 67.0%；愉悦与氛围感 10.5%；美观与价值感 10.5%；便捷性 8.9%；其他 3.0%</x:v>
      </x:c>
      <x:c r="M5" s="18" t="str">
        <x:v>期望型（O）</x:v>
      </x:c>
      <x:c r="N5" s="18" t="str">
        <x:v>重点优化</x:v>
      </x:c>
      <x:c r="O5" s="18" t="str">
        <x:v>持续提升一致性，做得越好越能提高满意度。</x:v>
      </x:c>
    </x:row>
    <x:row r="6">
      <x:c r="A6" s="18" t="str">
        <x:v>操作交互触点</x:v>
      </x:c>
      <x:c r="B6" s="18" t="str">
        <x:v>交互功能</x:v>
      </x:c>
      <x:c r="C6" s="26" t="n">
        <x:v>134</x:v>
      </x:c>
      <x:c r="D6" s="28" t="n">
        <x:f>C6/$B$2</x:f>
        <x:v>0.12259835315645014</x:v>
      </x:c>
      <x:c r="E6" s="26" t="n">
        <x:v>44</x:v>
      </x:c>
      <x:c r="F6" s="26" t="n">
        <x:v>87</x:v>
      </x:c>
      <x:c r="G6" s="26" t="n">
        <x:v>3</x:v>
      </x:c>
      <x:c r="H6" s="28" t="n">
        <x:f>E6/C6</x:f>
        <x:v>0.3283582089552239</x:v>
      </x:c>
      <x:c r="I6" s="28" t="n">
        <x:f>F6/C6</x:f>
        <x:v>0.6492537313432836</x:v>
      </x:c>
      <x:c r="J6" s="28" t="n">
        <x:f>G6/C6</x:f>
        <x:v>0.022388059701492536</x:v>
      </x:c>
      <x:c r="K6" s="18" t="str">
        <x:v>便捷性</x:v>
      </x:c>
      <x:c r="L6" s="18" t="str">
        <x:v>便捷性 68.7%；舒适感 11.2%；美观与价值感 8.2%；愉悦与氛围感 7.5%；其他 4.5%</x:v>
      </x:c>
      <x:c r="M6" s="18" t="str">
        <x:v>无差异型（I）</x:v>
      </x:c>
      <x:c r="N6" s="18" t="str">
        <x:v>低优先级观察</x:v>
      </x:c>
      <x:c r="O6" s="18" t="str">
        <x:v>保持基本水平即可，资源优先投入高关注项。</x:v>
      </x:c>
    </x:row>
    <x:row r="7">
      <x:c r="A7" s="18" t="str">
        <x:v>视觉触点</x:v>
      </x:c>
      <x:c r="B7" s="18" t="str">
        <x:v>风格设计</x:v>
      </x:c>
      <x:c r="C7" s="26" t="n">
        <x:v>119</x:v>
      </x:c>
      <x:c r="D7" s="28" t="n">
        <x:f>C7/$B$2</x:f>
        <x:v>0.10887465690759378</x:v>
      </x:c>
      <x:c r="E7" s="26" t="n">
        <x:v>67</x:v>
      </x:c>
      <x:c r="F7" s="26" t="n">
        <x:v>50</x:v>
      </x:c>
      <x:c r="G7" s="26" t="n">
        <x:v>2</x:v>
      </x:c>
      <x:c r="H7" s="28" t="n">
        <x:f>E7/C7</x:f>
        <x:v>0.5630252100840336</x:v>
      </x:c>
      <x:c r="I7" s="28" t="n">
        <x:f>F7/C7</x:f>
        <x:v>0.42016806722689076</x:v>
      </x:c>
      <x:c r="J7" s="28" t="n">
        <x:f>G7/C7</x:f>
        <x:v>0.01680672268907563</x:v>
      </x:c>
      <x:c r="K7" s="18" t="str">
        <x:v>美观与价值感</x:v>
      </x:c>
      <x:c r="L7" s="18" t="str">
        <x:v>美观与价值感 79.0%；便捷性 12.6%；愉悦与氛围感 5.0%；舒适感 2.5%；其他 0.8%</x:v>
      </x:c>
      <x:c r="M7" s="18" t="str">
        <x:v>魅力型（A）</x:v>
      </x:c>
      <x:c r="N7" s="18" t="str">
        <x:v>强化为卖点</x:v>
      </x:c>
      <x:c r="O7" s="18" t="str">
        <x:v>可作为感知亮点展示，增强记忆点与差异化。</x:v>
      </x:c>
    </x:row>
    <x:row r="8">
      <x:c r="A8" s="18" t="str">
        <x:v>视觉触点</x:v>
      </x:c>
      <x:c r="B8" s="18" t="str">
        <x:v>形体造型</x:v>
      </x:c>
      <x:c r="C8" s="26" t="n">
        <x:v>107</x:v>
      </x:c>
      <x:c r="D8" s="28" t="n">
        <x:f>C8/$B$2</x:f>
        <x:v>0.09789569990850869</x:v>
      </x:c>
      <x:c r="E8" s="26" t="n">
        <x:v>44</x:v>
      </x:c>
      <x:c r="F8" s="26" t="n">
        <x:v>51</x:v>
      </x:c>
      <x:c r="G8" s="26" t="n">
        <x:v>12</x:v>
      </x:c>
      <x:c r="H8" s="28" t="n">
        <x:f>E8/C8</x:f>
        <x:v>0.411214953271028</x:v>
      </x:c>
      <x:c r="I8" s="28" t="n">
        <x:f>F8/C8</x:f>
        <x:v>0.4766355140186916</x:v>
      </x:c>
      <x:c r="J8" s="28" t="n">
        <x:f>G8/C8</x:f>
        <x:v>0.11214953271028037</x:v>
      </x:c>
      <x:c r="K8" s="18" t="str">
        <x:v>美观与价值感</x:v>
      </x:c>
      <x:c r="L8" s="18" t="str">
        <x:v>美观与价值感 80.4%；舒适感 10.3%；便捷性 4.7%；安全感 2.8%；其他 1.9%</x:v>
      </x:c>
      <x:c r="M8" s="18" t="str">
        <x:v>期望型（O）</x:v>
      </x:c>
      <x:c r="N8" s="18" t="str">
        <x:v>重点优化</x:v>
      </x:c>
      <x:c r="O8" s="18" t="str">
        <x:v>持续提升一致性，做得越好越能提高满意度。</x:v>
      </x:c>
    </x:row>
    <x:row r="9">
      <x:c r="A9" s="18" t="str">
        <x:v>视觉触点</x:v>
      </x:c>
      <x:c r="B9" s="18" t="str">
        <x:v>视觉舒适</x:v>
      </x:c>
      <x:c r="C9" s="26" t="n">
        <x:v>107</x:v>
      </x:c>
      <x:c r="D9" s="28" t="n">
        <x:f>C9/$B$2</x:f>
        <x:v>0.09789569990850869</x:v>
      </x:c>
      <x:c r="E9" s="26" t="n">
        <x:v>59</x:v>
      </x:c>
      <x:c r="F9" s="26" t="n">
        <x:v>38</x:v>
      </x:c>
      <x:c r="G9" s="26" t="n">
        <x:v>10</x:v>
      </x:c>
      <x:c r="H9" s="28" t="n">
        <x:f>E9/C9</x:f>
        <x:v>0.5514018691588785</x:v>
      </x:c>
      <x:c r="I9" s="28" t="n">
        <x:f>F9/C9</x:f>
        <x:v>0.35514018691588783</x:v>
      </x:c>
      <x:c r="J9" s="28" t="n">
        <x:f>G9/C9</x:f>
        <x:v>0.09345794392523364</x:v>
      </x:c>
      <x:c r="K9" s="18" t="str">
        <x:v>舒适感</x:v>
      </x:c>
      <x:c r="L9" s="18" t="str">
        <x:v>舒适感 65.4%；美观与价值感 19.6%；愉悦与氛围感 8.4%；便捷性 2.8%；其他 3.7%</x:v>
      </x:c>
      <x:c r="M9" s="18" t="str">
        <x:v>期望型（O）</x:v>
      </x:c>
      <x:c r="N9" s="18" t="str">
        <x:v>重点优化</x:v>
      </x:c>
      <x:c r="O9" s="18" t="str">
        <x:v>持续提升一致性，做得越好越能提高满意度。</x:v>
      </x:c>
    </x:row>
    <x:row r="10">
      <x:c r="A10" s="18" t="str">
        <x:v>触觉/近身质感触点</x:v>
      </x:c>
      <x:c r="B10" s="18" t="str">
        <x:v>做工细节</x:v>
      </x:c>
      <x:c r="C10" s="26" t="n">
        <x:v>54</x:v>
      </x:c>
      <x:c r="D10" s="28" t="n">
        <x:f>C10/$B$2</x:f>
        <x:v>0.04940530649588289</x:v>
      </x:c>
      <x:c r="E10" s="26" t="n">
        <x:v>21</x:v>
      </x:c>
      <x:c r="F10" s="26" t="n">
        <x:v>31</x:v>
      </x:c>
      <x:c r="G10" s="26" t="n">
        <x:v>2</x:v>
      </x:c>
      <x:c r="H10" s="28" t="n">
        <x:f>E10/C10</x:f>
        <x:v>0.3888888888888889</x:v>
      </x:c>
      <x:c r="I10" s="28" t="n">
        <x:f>F10/C10</x:f>
        <x:v>0.5740740740740741</x:v>
      </x:c>
      <x:c r="J10" s="28" t="n">
        <x:f>G10/C10</x:f>
        <x:v>0.037037037037037035</x:v>
      </x:c>
      <x:c r="K10" s="18" t="str">
        <x:v>美观与价值感</x:v>
      </x:c>
      <x:c r="L10" s="18" t="str">
        <x:v>美观与价值感 53.7%；便捷性 33.3%；舒适感 7.4%；安全感 5.6%</x:v>
      </x:c>
      <x:c r="M10" s="18" t="str">
        <x:v>魅力型（A）</x:v>
      </x:c>
      <x:c r="N10" s="18" t="str">
        <x:v>适度强化</x:v>
      </x:c>
      <x:c r="O10" s="18" t="str">
        <x:v>可作为感知亮点展示，增强记忆点与差异化。</x:v>
      </x:c>
    </x:row>
    <x:row r="11">
      <x:c r="A11" s="18" t="str">
        <x:v>视觉触点</x:v>
      </x:c>
      <x:c r="B11" s="18" t="str">
        <x:v>空间氛围</x:v>
      </x:c>
      <x:c r="C11" s="26" t="n">
        <x:v>52</x:v>
      </x:c>
      <x:c r="D11" s="28" t="n">
        <x:f>C11/$B$2</x:f>
        <x:v>0.04757548032936871</x:v>
      </x:c>
      <x:c r="E11" s="26" t="n">
        <x:v>30</x:v>
      </x:c>
      <x:c r="F11" s="26" t="n">
        <x:v>19</x:v>
      </x:c>
      <x:c r="G11" s="26" t="n">
        <x:v>3</x:v>
      </x:c>
      <x:c r="H11" s="28" t="n">
        <x:f>E11/C11</x:f>
        <x:v>0.5769230769230769</x:v>
      </x:c>
      <x:c r="I11" s="28" t="n">
        <x:f>F11/C11</x:f>
        <x:v>0.36538461538461536</x:v>
      </x:c>
      <x:c r="J11" s="28" t="n">
        <x:f>G11/C11</x:f>
        <x:v>0.057692307692307696</x:v>
      </x:c>
      <x:c r="K11" s="18" t="str">
        <x:v>愉悦与氛围感</x:v>
      </x:c>
      <x:c r="L11" s="18" t="str">
        <x:v>愉悦与氛围感 51.9%；美观与价值感 21.2%；舒适感 21.2%；安全感 1.9%；其他 3.8%</x:v>
      </x:c>
      <x:c r="M11" s="18" t="str">
        <x:v>魅力型（A）</x:v>
      </x:c>
      <x:c r="N11" s="18" t="str">
        <x:v>强化为卖点</x:v>
      </x:c>
      <x:c r="O11" s="18" t="str">
        <x:v>可作为感知亮点展示，增强记忆点与差异化。</x:v>
      </x:c>
    </x:row>
    <x:row r="12">
      <x:c r="A12" s="18" t="str">
        <x:v>触觉/近身质感触点</x:v>
      </x:c>
      <x:c r="B12" s="18" t="str">
        <x:v>材料质感</x:v>
      </x:c>
      <x:c r="C12" s="26" t="n">
        <x:v>45</x:v>
      </x:c>
      <x:c r="D12" s="28" t="n">
        <x:f>C12/$B$2</x:f>
        <x:v>0.04117108874656908</x:v>
      </x:c>
      <x:c r="E12" s="26" t="n">
        <x:v>14</x:v>
      </x:c>
      <x:c r="F12" s="26" t="n">
        <x:v>28</x:v>
      </x:c>
      <x:c r="G12" s="26" t="n">
        <x:v>3</x:v>
      </x:c>
      <x:c r="H12" s="28" t="n">
        <x:f>E12/C12</x:f>
        <x:v>0.3111111111111111</x:v>
      </x:c>
      <x:c r="I12" s="28" t="n">
        <x:f>F12/C12</x:f>
        <x:v>0.6222222222222222</x:v>
      </x:c>
      <x:c r="J12" s="28" t="n">
        <x:f>G12/C12</x:f>
        <x:v>0.06666666666666667</x:v>
      </x:c>
      <x:c r="K12" s="18" t="str">
        <x:v>美观与价值感</x:v>
      </x:c>
      <x:c r="L12" s="18" t="str">
        <x:v>美观与价值感 57.8%；舒适感 13.3%；便捷性 13.3%；安全感 11.1%；其他 4.4%</x:v>
      </x:c>
      <x:c r="M12" s="18" t="str">
        <x:v>期望型（O）</x:v>
      </x:c>
      <x:c r="N12" s="18" t="str">
        <x:v>持续优化</x:v>
      </x:c>
      <x:c r="O12" s="18" t="str">
        <x:v>持续提升一致性，做得越好越能提高满意度。</x:v>
      </x:c>
    </x:row>
    <x:row r="13">
      <x:c r="A13" s="19" t="str">
        <x:v>视觉触点</x:v>
      </x:c>
      <x:c r="B13" s="19" t="str">
        <x:v>色彩</x:v>
      </x:c>
      <x:c r="C13" s="27" t="n">
        <x:v>38</x:v>
      </x:c>
      <x:c r="D13" s="29" t="n">
        <x:f>C13/$B$2</x:f>
        <x:v>0.03476669716376944</x:v>
      </x:c>
      <x:c r="E13" s="27" t="n">
        <x:v>14</x:v>
      </x:c>
      <x:c r="F13" s="27" t="n">
        <x:v>23</x:v>
      </x:c>
      <x:c r="G13" s="27" t="n">
        <x:v>1</x:v>
      </x:c>
      <x:c r="H13" s="29" t="n">
        <x:f>E13/C13</x:f>
        <x:v>0.3684210526315789</x:v>
      </x:c>
      <x:c r="I13" s="29" t="n">
        <x:f>F13/C13</x:f>
        <x:v>0.6052631578947368</x:v>
      </x:c>
      <x:c r="J13" s="29" t="n">
        <x:f>G13/C13</x:f>
        <x:v>0.02631578947368421</x:v>
      </x:c>
      <x:c r="K13" s="19" t="str">
        <x:v>美观与价值感</x:v>
      </x:c>
      <x:c r="L13" s="19" t="str">
        <x:v>美观与价值感 81.6%；舒适感 10.5%；便捷性 5.3%；无 2.6%</x:v>
      </x:c>
      <x:c r="M13" s="19" t="str">
        <x:v>魅力型（A）</x:v>
      </x:c>
      <x:c r="N13" s="19" t="str">
        <x:v>适度强化</x:v>
      </x:c>
      <x:c r="O13" s="19" t="str">
        <x:v>可作为感知亮点展示，增强记忆点与差异化。</x:v>
      </x:c>
    </x:row>
  </x:sheetData>
  <x:mergeCells>
    <x:mergeCell ref="A1:O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23" hidden="0" customWidth="1"/>
    <x:col min="3" max="3" width="12" hidden="0" customWidth="1"/>
    <x:col min="4" max="4" width="14" hidden="0" customWidth="1"/>
    <x:col min="5" max="5" width="10" hidden="0" customWidth="1"/>
    <x:col min="6" max="6" width="10" hidden="0" customWidth="1"/>
    <x:col min="7" max="7" width="10" hidden="0" customWidth="1"/>
    <x:col min="8" max="8" width="11" hidden="0" customWidth="1"/>
    <x:col min="9" max="9" width="11" hidden="0" customWidth="1"/>
    <x:col min="10" max="10" width="11" hidden="0" customWidth="1"/>
    <x:col min="11" max="11" width="20" hidden="0" customWidth="1"/>
    <x:col min="12" max="12" width="55" hidden="0" customWidth="1"/>
    <x:col min="13" max="13" width="23" hidden="0" customWidth="1"/>
    <x:col min="14" max="14" width="22" hidden="0" customWidth="1"/>
    <x:col min="15" max="15" width="52" hidden="0" customWidth="1"/>
  </x:cols>
  <x:sheetData>
    <x:row r="1" ht="27" customHeight="1">
      <x:c r="A1" s="3" t="str">
        <x:v>睡眠与起居｜Kano 触点分析表</x:v>
      </x:c>
      <x:c r="B1" s="3" t="str">
        <x:v>睡眠与起居｜Kano 触点分析表</x:v>
      </x:c>
      <x:c r="C1" s="3" t="str">
        <x:v>睡眠与起居｜Kano 触点分析表</x:v>
      </x:c>
      <x:c r="D1" s="3" t="str">
        <x:v>睡眠与起居｜Kano 触点分析表</x:v>
      </x:c>
      <x:c r="E1" s="3" t="str">
        <x:v>睡眠与起居｜Kano 触点分析表</x:v>
      </x:c>
      <x:c r="F1" s="3" t="str">
        <x:v>睡眠与起居｜Kano 触点分析表</x:v>
      </x:c>
      <x:c r="G1" s="3" t="str">
        <x:v>睡眠与起居｜Kano 触点分析表</x:v>
      </x:c>
      <x:c r="H1" s="3" t="str">
        <x:v>睡眠与起居｜Kano 触点分析表</x:v>
      </x:c>
      <x:c r="I1" s="3" t="str">
        <x:v>睡眠与起居｜Kano 触点分析表</x:v>
      </x:c>
      <x:c r="J1" s="3" t="str">
        <x:v>睡眠与起居｜Kano 触点分析表</x:v>
      </x:c>
      <x:c r="K1" s="3" t="str">
        <x:v>睡眠与起居｜Kano 触点分析表</x:v>
      </x:c>
      <x:c r="L1" s="3" t="str">
        <x:v>睡眠与起居｜Kano 触点分析表</x:v>
      </x:c>
      <x:c r="M1" s="3" t="str">
        <x:v>睡眠与起居｜Kano 触点分析表</x:v>
      </x:c>
      <x:c r="N1" s="3" t="str">
        <x:v>睡眠与起居｜Kano 触点分析表</x:v>
      </x:c>
      <x:c r="O1" s="3" t="str">
        <x:v>睡眠与起居｜Kano 触点分析表</x:v>
      </x:c>
    </x:row>
    <x:row r="2">
      <x:c r="A2" s="21" t="str">
        <x:v>场景总提及频次</x:v>
      </x:c>
      <x:c r="B2" s="21" t="n">
        <x:v>433</x:v>
      </x:c>
    </x:row>
    <x:row r="4" ht="28" customHeight="1">
      <x:c r="A4" s="12" t="str">
        <x:v>触点类型</x:v>
      </x:c>
      <x:c r="B4" s="25" t="str">
        <x:v>标准美学指标</x:v>
      </x:c>
      <x:c r="C4" s="25" t="str">
        <x:v>提及频次</x:v>
      </x:c>
      <x:c r="D4" s="25" t="str">
        <x:v>场景内占比</x:v>
      </x:c>
      <x:c r="E4" s="25" t="str">
        <x:v>正向数</x:v>
      </x:c>
      <x:c r="F4" s="25" t="str">
        <x:v>中性数</x:v>
      </x:c>
      <x:c r="G4" s="25" t="str">
        <x:v>负向数</x:v>
      </x:c>
      <x:c r="H4" s="25" t="str">
        <x:v>正向率</x:v>
      </x:c>
      <x:c r="I4" s="25" t="str">
        <x:v>中性率</x:v>
      </x:c>
      <x:c r="J4" s="25" t="str">
        <x:v>负向率</x:v>
      </x:c>
      <x:c r="K4" s="25" t="str">
        <x:v>主要用户感受</x:v>
      </x:c>
      <x:c r="L4" s="25" t="str">
        <x:v>用户感受占比分布</x:v>
      </x:c>
      <x:c r="M4" s="25" t="str">
        <x:v>Kano分类（legacy）</x:v>
      </x:c>
      <x:c r="N4" s="25" t="str">
        <x:v>设计优先级（legacy）</x:v>
      </x:c>
      <x:c r="O4" s="13" t="str">
        <x:v>设计含义/建议（legacy）</x:v>
      </x:c>
    </x:row>
    <x:row r="5">
      <x:c r="A5" s="18" t="str">
        <x:v>视觉触点</x:v>
      </x:c>
      <x:c r="B5" s="18" t="str">
        <x:v>照明与色调</x:v>
      </x:c>
      <x:c r="C5" s="26" t="n">
        <x:v>244</x:v>
      </x:c>
      <x:c r="D5" s="28" t="n">
        <x:f>C5/$B$2</x:f>
        <x:v>0.5635103926096998</x:v>
      </x:c>
      <x:c r="E5" s="26" t="n">
        <x:v>111</x:v>
      </x:c>
      <x:c r="F5" s="26" t="n">
        <x:v>104</x:v>
      </x:c>
      <x:c r="G5" s="26" t="n">
        <x:v>29</x:v>
      </x:c>
      <x:c r="H5" s="28" t="n">
        <x:f>E5/C5</x:f>
        <x:v>0.45491803278688525</x:v>
      </x:c>
      <x:c r="I5" s="28" t="n">
        <x:f>F5/C5</x:f>
        <x:v>0.4262295081967213</x:v>
      </x:c>
      <x:c r="J5" s="28" t="n">
        <x:f>G5/C5</x:f>
        <x:v>0.11885245901639344</x:v>
      </x:c>
      <x:c r="K5" s="18" t="str">
        <x:v>舒适感</x:v>
      </x:c>
      <x:c r="L5" s="18" t="str">
        <x:v>舒适感 70.9%；愉悦与氛围感 10.7%；便捷性 7.8%；安全感 5.7%；其他 4.9%</x:v>
      </x:c>
      <x:c r="M5" s="18" t="str">
        <x:v>期望型（O）</x:v>
      </x:c>
      <x:c r="N5" s="18" t="str">
        <x:v>重点优化</x:v>
      </x:c>
      <x:c r="O5" s="18" t="str">
        <x:v>持续提升一致性，做得越好越能提高满意度。</x:v>
      </x:c>
    </x:row>
    <x:row r="6">
      <x:c r="A6" s="18" t="str">
        <x:v>操作交互触点</x:v>
      </x:c>
      <x:c r="B6" s="18" t="str">
        <x:v>交互功能</x:v>
      </x:c>
      <x:c r="C6" s="26" t="n">
        <x:v>93</x:v>
      </x:c>
      <x:c r="D6" s="28" t="n">
        <x:f>C6/$B$2</x:f>
        <x:v>0.21478060046189376</x:v>
      </x:c>
      <x:c r="E6" s="26" t="n">
        <x:v>34</x:v>
      </x:c>
      <x:c r="F6" s="26" t="n">
        <x:v>56</x:v>
      </x:c>
      <x:c r="G6" s="26" t="n">
        <x:v>3</x:v>
      </x:c>
      <x:c r="H6" s="28" t="n">
        <x:f>E6/C6</x:f>
        <x:v>0.3655913978494624</x:v>
      </x:c>
      <x:c r="I6" s="28" t="n">
        <x:f>F6/C6</x:f>
        <x:v>0.6021505376344086</x:v>
      </x:c>
      <x:c r="J6" s="28" t="n">
        <x:f>G6/C6</x:f>
        <x:v>0.03225806451612903</x:v>
      </x:c>
      <x:c r="K6" s="18" t="str">
        <x:v>便捷性</x:v>
      </x:c>
      <x:c r="L6" s="18" t="str">
        <x:v>便捷性 50.5%；舒适感 19.4%；愉悦与氛围感 15.1%；无 10.8%；其他 4.3%</x:v>
      </x:c>
      <x:c r="M6" s="18" t="str">
        <x:v>魅力型（A）</x:v>
      </x:c>
      <x:c r="N6" s="18" t="str">
        <x:v>强化为卖点</x:v>
      </x:c>
      <x:c r="O6" s="18" t="str">
        <x:v>可作为感知亮点展示，增强记忆点与差异化。</x:v>
      </x:c>
    </x:row>
    <x:row r="7">
      <x:c r="A7" s="18" t="str">
        <x:v>视觉触点</x:v>
      </x:c>
      <x:c r="B7" s="18" t="str">
        <x:v>形体造型</x:v>
      </x:c>
      <x:c r="C7" s="26" t="n">
        <x:v>21</x:v>
      </x:c>
      <x:c r="D7" s="28" t="n">
        <x:f>C7/$B$2</x:f>
        <x:v>0.04849884526558892</x:v>
      </x:c>
      <x:c r="E7" s="26" t="n">
        <x:v>14</x:v>
      </x:c>
      <x:c r="F7" s="26" t="n">
        <x:v>6</x:v>
      </x:c>
      <x:c r="G7" s="26" t="n">
        <x:v>1</x:v>
      </x:c>
      <x:c r="H7" s="28" t="n">
        <x:f>E7/C7</x:f>
        <x:v>0.6666666666666666</x:v>
      </x:c>
      <x:c r="I7" s="28" t="n">
        <x:f>F7/C7</x:f>
        <x:v>0.2857142857142857</x:v>
      </x:c>
      <x:c r="J7" s="28" t="n">
        <x:f>G7/C7</x:f>
        <x:v>0.047619047619047616</x:v>
      </x:c>
      <x:c r="K7" s="18" t="str">
        <x:v>美观与价值感</x:v>
      </x:c>
      <x:c r="L7" s="18" t="str">
        <x:v>美观与价值感 57.1%；舒适感 28.6%；便捷性 14.3%</x:v>
      </x:c>
      <x:c r="M7" s="18" t="str">
        <x:v>魅力型（A）</x:v>
      </x:c>
      <x:c r="N7" s="18" t="str">
        <x:v>强化为卖点</x:v>
      </x:c>
      <x:c r="O7" s="18" t="str">
        <x:v>可作为感知亮点展示，增强记忆点与差异化。</x:v>
      </x:c>
    </x:row>
    <x:row r="8">
      <x:c r="A8" s="18" t="str">
        <x:v>视觉触点</x:v>
      </x:c>
      <x:c r="B8" s="18" t="str">
        <x:v>视觉舒适</x:v>
      </x:c>
      <x:c r="C8" s="26" t="n">
        <x:v>20</x:v>
      </x:c>
      <x:c r="D8" s="28" t="n">
        <x:f>C8/$B$2</x:f>
        <x:v>0.046189376443418015</x:v>
      </x:c>
      <x:c r="E8" s="26" t="n">
        <x:v>10</x:v>
      </x:c>
      <x:c r="F8" s="26" t="n">
        <x:v>9</x:v>
      </x:c>
      <x:c r="G8" s="26" t="n">
        <x:v>1</x:v>
      </x:c>
      <x:c r="H8" s="28" t="n">
        <x:f>E8/C8</x:f>
        <x:v>0.5</x:v>
      </x:c>
      <x:c r="I8" s="28" t="n">
        <x:f>F8/C8</x:f>
        <x:v>0.45</x:v>
      </x:c>
      <x:c r="J8" s="28" t="n">
        <x:f>G8/C8</x:f>
        <x:v>0.05</x:v>
      </x:c>
      <x:c r="K8" s="18" t="str">
        <x:v>舒适感</x:v>
      </x:c>
      <x:c r="L8" s="18" t="str">
        <x:v>舒适感 55.0%；愉悦与氛围感 20.0%；美观与价值感 10.0%；安全感 5.0%；其他 10.0%</x:v>
      </x:c>
      <x:c r="M8" s="18" t="str">
        <x:v>期望型（O）</x:v>
      </x:c>
      <x:c r="N8" s="18" t="str">
        <x:v>持续优化</x:v>
      </x:c>
      <x:c r="O8" s="18" t="str">
        <x:v>持续提升一致性，做得越好越能提高满意度。</x:v>
      </x:c>
    </x:row>
    <x:row r="9">
      <x:c r="A9" s="18" t="str">
        <x:v>视觉触点</x:v>
      </x:c>
      <x:c r="B9" s="18" t="str">
        <x:v>色彩</x:v>
      </x:c>
      <x:c r="C9" s="26" t="n">
        <x:v>17</x:v>
      </x:c>
      <x:c r="D9" s="28" t="n">
        <x:f>C9/$B$2</x:f>
        <x:v>0.03926096997690531</x:v>
      </x:c>
      <x:c r="E9" s="26" t="n">
        <x:v>7</x:v>
      </x:c>
      <x:c r="F9" s="26" t="n">
        <x:v>10</x:v>
      </x:c>
      <x:c r="G9" s="26" t="n">
        <x:v>0</x:v>
      </x:c>
      <x:c r="H9" s="28" t="n">
        <x:f>E9/C9</x:f>
        <x:v>0.4117647058823529</x:v>
      </x:c>
      <x:c r="I9" s="28" t="n">
        <x:f>F9/C9</x:f>
        <x:v>0.5882352941176471</x:v>
      </x:c>
      <x:c r="J9" s="28" t="n">
        <x:f>G9/C9</x:f>
        <x:v>0</x:v>
      </x:c>
      <x:c r="K9" s="18" t="str">
        <x:v>美观与价值感</x:v>
      </x:c>
      <x:c r="L9" s="18" t="str">
        <x:v>美观与价值感 47.1%；舒适感 23.5%；愉悦与氛围感 11.8%；便捷性 11.8%；其他 5.9%</x:v>
      </x:c>
      <x:c r="M9" s="18" t="str">
        <x:v>魅力型（A）</x:v>
      </x:c>
      <x:c r="N9" s="18" t="str">
        <x:v>适度强化</x:v>
      </x:c>
      <x:c r="O9" s="18" t="str">
        <x:v>可作为感知亮点展示，增强记忆点与差异化。</x:v>
      </x:c>
    </x:row>
    <x:row r="10">
      <x:c r="A10" s="18" t="str">
        <x:v>视觉触点</x:v>
      </x:c>
      <x:c r="B10" s="18" t="str">
        <x:v>空间氛围</x:v>
      </x:c>
      <x:c r="C10" s="26" t="n">
        <x:v>13</x:v>
      </x:c>
      <x:c r="D10" s="28" t="n">
        <x:f>C10/$B$2</x:f>
        <x:v>0.03002309468822171</x:v>
      </x:c>
      <x:c r="E10" s="26" t="n">
        <x:v>8</x:v>
      </x:c>
      <x:c r="F10" s="26" t="n">
        <x:v>5</x:v>
      </x:c>
      <x:c r="G10" s="26" t="n">
        <x:v>0</x:v>
      </x:c>
      <x:c r="H10" s="28" t="n">
        <x:f>E10/C10</x:f>
        <x:v>0.6153846153846154</x:v>
      </x:c>
      <x:c r="I10" s="28" t="n">
        <x:f>F10/C10</x:f>
        <x:v>0.38461538461538464</x:v>
      </x:c>
      <x:c r="J10" s="28" t="n">
        <x:f>G10/C10</x:f>
        <x:v>0</x:v>
      </x:c>
      <x:c r="K10" s="18" t="str">
        <x:v>愉悦与氛围感</x:v>
      </x:c>
      <x:c r="L10" s="18" t="str">
        <x:v>愉悦与氛围感 53.8%；舒适感 23.1%；美观与价值感 7.7%；便捷性 7.7%；其他 7.7%</x:v>
      </x:c>
      <x:c r="M10" s="18" t="str">
        <x:v>魅力型（A）</x:v>
      </x:c>
      <x:c r="N10" s="18" t="str">
        <x:v>强化为卖点</x:v>
      </x:c>
      <x:c r="O10" s="18" t="str">
        <x:v>可作为感知亮点展示，增强记忆点与差异化。</x:v>
      </x:c>
    </x:row>
    <x:row r="11">
      <x:c r="A11" s="18" t="str">
        <x:v>视觉触点</x:v>
      </x:c>
      <x:c r="B11" s="18" t="str">
        <x:v>风格设计</x:v>
      </x:c>
      <x:c r="C11" s="26" t="n">
        <x:v>10</x:v>
      </x:c>
      <x:c r="D11" s="28" t="n">
        <x:f>C11/$B$2</x:f>
        <x:v>0.023094688221709007</x:v>
      </x:c>
      <x:c r="E11" s="26" t="n">
        <x:v>8</x:v>
      </x:c>
      <x:c r="F11" s="26" t="n">
        <x:v>2</x:v>
      </x:c>
      <x:c r="G11" s="26" t="n">
        <x:v>0</x:v>
      </x:c>
      <x:c r="H11" s="28" t="n">
        <x:f>E11/C11</x:f>
        <x:v>0.8</x:v>
      </x:c>
      <x:c r="I11" s="28" t="n">
        <x:f>F11/C11</x:f>
        <x:v>0.2</x:v>
      </x:c>
      <x:c r="J11" s="28" t="n">
        <x:f>G11/C11</x:f>
        <x:v>0</x:v>
      </x:c>
      <x:c r="K11" s="18" t="str">
        <x:v>美观与价值感</x:v>
      </x:c>
      <x:c r="L11" s="18" t="str">
        <x:v>美观与价值感 90.0%；愉悦与氛围感 10.0%</x:v>
      </x:c>
      <x:c r="M11" s="18" t="str">
        <x:v>魅力型（A）</x:v>
      </x:c>
      <x:c r="N11" s="18" t="str">
        <x:v>强化为卖点</x:v>
      </x:c>
      <x:c r="O11" s="18" t="str">
        <x:v>可作为感知亮点展示，增强记忆点与差异化。</x:v>
      </x:c>
    </x:row>
    <x:row r="12">
      <x:c r="A12" s="18" t="str">
        <x:v>触觉/近身质感触点</x:v>
      </x:c>
      <x:c r="B12" s="18" t="str">
        <x:v>做工细节</x:v>
      </x:c>
      <x:c r="C12" s="26" t="n">
        <x:v>10</x:v>
      </x:c>
      <x:c r="D12" s="28" t="n">
        <x:f>C12/$B$2</x:f>
        <x:v>0.023094688221709007</x:v>
      </x:c>
      <x:c r="E12" s="26" t="n">
        <x:v>3</x:v>
      </x:c>
      <x:c r="F12" s="26" t="n">
        <x:v>7</x:v>
      </x:c>
      <x:c r="G12" s="26" t="n">
        <x:v>0</x:v>
      </x:c>
      <x:c r="H12" s="28" t="n">
        <x:f>E12/C12</x:f>
        <x:v>0.3</x:v>
      </x:c>
      <x:c r="I12" s="28" t="n">
        <x:f>F12/C12</x:f>
        <x:v>0.7</x:v>
      </x:c>
      <x:c r="J12" s="28" t="n">
        <x:f>G12/C12</x:f>
        <x:v>0</x:v>
      </x:c>
      <x:c r="K12" s="18" t="str">
        <x:v>美观与价值感</x:v>
      </x:c>
      <x:c r="L12" s="18" t="str">
        <x:v>美观与价值感 80.0%；便捷性 20.0%</x:v>
      </x:c>
      <x:c r="M12" s="18" t="str">
        <x:v>无差异型（I）</x:v>
      </x:c>
      <x:c r="N12" s="18" t="str">
        <x:v>低优先级观察</x:v>
      </x:c>
      <x:c r="O12" s="18" t="str">
        <x:v>保持基本水平即可，资源优先投入高关注项。</x:v>
      </x:c>
    </x:row>
    <x:row r="13">
      <x:c r="A13" s="19" t="str">
        <x:v>触觉/近身质感触点</x:v>
      </x:c>
      <x:c r="B13" s="19" t="str">
        <x:v>材料质感</x:v>
      </x:c>
      <x:c r="C13" s="27" t="n">
        <x:v>5</x:v>
      </x:c>
      <x:c r="D13" s="29" t="n">
        <x:f>C13/$B$2</x:f>
        <x:v>0.011547344110854504</x:v>
      </x:c>
      <x:c r="E13" s="27" t="n">
        <x:v>2</x:v>
      </x:c>
      <x:c r="F13" s="27" t="n">
        <x:v>2</x:v>
      </x:c>
      <x:c r="G13" s="27" t="n">
        <x:v>1</x:v>
      </x:c>
      <x:c r="H13" s="29" t="n">
        <x:f>E13/C13</x:f>
        <x:v>0.4</x:v>
      </x:c>
      <x:c r="I13" s="29" t="n">
        <x:f>F13/C13</x:f>
        <x:v>0.4</x:v>
      </x:c>
      <x:c r="J13" s="29" t="n">
        <x:f>G13/C13</x:f>
        <x:v>0.2</x:v>
      </x:c>
      <x:c r="K13" s="19" t="str">
        <x:v>美观与价值感</x:v>
      </x:c>
      <x:c r="L13" s="19" t="str">
        <x:v>美观与价值感 100.0%</x:v>
      </x:c>
      <x:c r="M13" s="19" t="str">
        <x:v>期望型（O）</x:v>
      </x:c>
      <x:c r="N13" s="19" t="str">
        <x:v>重点优化</x:v>
      </x:c>
      <x:c r="O13" s="19" t="str">
        <x:v>持续提升一致性，做得越好越能提高满意度。</x:v>
      </x:c>
    </x:row>
  </x:sheetData>
  <x:mergeCells>
    <x:mergeCell ref="A1:O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23" hidden="0" customWidth="1"/>
    <x:col min="3" max="3" width="12" hidden="0" customWidth="1"/>
    <x:col min="4" max="4" width="14" hidden="0" customWidth="1"/>
    <x:col min="5" max="5" width="10" hidden="0" customWidth="1"/>
    <x:col min="6" max="6" width="10" hidden="0" customWidth="1"/>
    <x:col min="7" max="7" width="10" hidden="0" customWidth="1"/>
    <x:col min="8" max="8" width="11" hidden="0" customWidth="1"/>
    <x:col min="9" max="9" width="11" hidden="0" customWidth="1"/>
    <x:col min="10" max="10" width="11" hidden="0" customWidth="1"/>
    <x:col min="11" max="11" width="20" hidden="0" customWidth="1"/>
    <x:col min="12" max="12" width="55" hidden="0" customWidth="1"/>
    <x:col min="13" max="13" width="23" hidden="0" customWidth="1"/>
    <x:col min="14" max="14" width="22" hidden="0" customWidth="1"/>
    <x:col min="15" max="15" width="52" hidden="0" customWidth="1"/>
  </x:cols>
  <x:sheetData>
    <x:row r="1" ht="27" customHeight="1">
      <x:c r="A1" s="3" t="str">
        <x:v>休闲娱乐｜Kano 触点分析表</x:v>
      </x:c>
      <x:c r="B1" s="3" t="str">
        <x:v>休闲娱乐｜Kano 触点分析表</x:v>
      </x:c>
      <x:c r="C1" s="3" t="str">
        <x:v>休闲娱乐｜Kano 触点分析表</x:v>
      </x:c>
      <x:c r="D1" s="3" t="str">
        <x:v>休闲娱乐｜Kano 触点分析表</x:v>
      </x:c>
      <x:c r="E1" s="3" t="str">
        <x:v>休闲娱乐｜Kano 触点分析表</x:v>
      </x:c>
      <x:c r="F1" s="3" t="str">
        <x:v>休闲娱乐｜Kano 触点分析表</x:v>
      </x:c>
      <x:c r="G1" s="3" t="str">
        <x:v>休闲娱乐｜Kano 触点分析表</x:v>
      </x:c>
      <x:c r="H1" s="3" t="str">
        <x:v>休闲娱乐｜Kano 触点分析表</x:v>
      </x:c>
      <x:c r="I1" s="3" t="str">
        <x:v>休闲娱乐｜Kano 触点分析表</x:v>
      </x:c>
      <x:c r="J1" s="3" t="str">
        <x:v>休闲娱乐｜Kano 触点分析表</x:v>
      </x:c>
      <x:c r="K1" s="3" t="str">
        <x:v>休闲娱乐｜Kano 触点分析表</x:v>
      </x:c>
      <x:c r="L1" s="3" t="str">
        <x:v>休闲娱乐｜Kano 触点分析表</x:v>
      </x:c>
      <x:c r="M1" s="3" t="str">
        <x:v>休闲娱乐｜Kano 触点分析表</x:v>
      </x:c>
      <x:c r="N1" s="3" t="str">
        <x:v>休闲娱乐｜Kano 触点分析表</x:v>
      </x:c>
      <x:c r="O1" s="3" t="str">
        <x:v>休闲娱乐｜Kano 触点分析表</x:v>
      </x:c>
    </x:row>
    <x:row r="2">
      <x:c r="A2" s="21" t="str">
        <x:v>场景总提及频次</x:v>
      </x:c>
      <x:c r="B2" s="21" t="n">
        <x:v>211</x:v>
      </x:c>
    </x:row>
    <x:row r="4" ht="28" customHeight="1">
      <x:c r="A4" s="12" t="str">
        <x:v>触点类型</x:v>
      </x:c>
      <x:c r="B4" s="25" t="str">
        <x:v>标准美学指标</x:v>
      </x:c>
      <x:c r="C4" s="25" t="str">
        <x:v>提及频次</x:v>
      </x:c>
      <x:c r="D4" s="25" t="str">
        <x:v>场景内占比</x:v>
      </x:c>
      <x:c r="E4" s="25" t="str">
        <x:v>正向数</x:v>
      </x:c>
      <x:c r="F4" s="25" t="str">
        <x:v>中性数</x:v>
      </x:c>
      <x:c r="G4" s="25" t="str">
        <x:v>负向数</x:v>
      </x:c>
      <x:c r="H4" s="25" t="str">
        <x:v>正向率</x:v>
      </x:c>
      <x:c r="I4" s="25" t="str">
        <x:v>中性率</x:v>
      </x:c>
      <x:c r="J4" s="25" t="str">
        <x:v>负向率</x:v>
      </x:c>
      <x:c r="K4" s="25" t="str">
        <x:v>主要用户感受</x:v>
      </x:c>
      <x:c r="L4" s="25" t="str">
        <x:v>用户感受占比分布</x:v>
      </x:c>
      <x:c r="M4" s="25" t="str">
        <x:v>Kano分类（legacy）</x:v>
      </x:c>
      <x:c r="N4" s="25" t="str">
        <x:v>设计优先级（legacy）</x:v>
      </x:c>
      <x:c r="O4" s="13" t="str">
        <x:v>设计含义/建议（legacy）</x:v>
      </x:c>
    </x:row>
    <x:row r="5">
      <x:c r="A5" s="18" t="str">
        <x:v>视觉触点</x:v>
      </x:c>
      <x:c r="B5" s="18" t="str">
        <x:v>照明与色调</x:v>
      </x:c>
      <x:c r="C5" s="26" t="n">
        <x:v>87</x:v>
      </x:c>
      <x:c r="D5" s="28" t="n">
        <x:f>C5/$B$2</x:f>
        <x:v>0.41232227488151657</x:v>
      </x:c>
      <x:c r="E5" s="26" t="n">
        <x:v>50</x:v>
      </x:c>
      <x:c r="F5" s="26" t="n">
        <x:v>34</x:v>
      </x:c>
      <x:c r="G5" s="26" t="n">
        <x:v>3</x:v>
      </x:c>
      <x:c r="H5" s="28" t="n">
        <x:f>E5/C5</x:f>
        <x:v>0.5747126436781609</x:v>
      </x:c>
      <x:c r="I5" s="28" t="n">
        <x:f>F5/C5</x:f>
        <x:v>0.39080459770114945</x:v>
      </x:c>
      <x:c r="J5" s="28" t="n">
        <x:f>G5/C5</x:f>
        <x:v>0.034482758620689655</x:v>
      </x:c>
      <x:c r="K5" s="18" t="str">
        <x:v>舒适感</x:v>
      </x:c>
      <x:c r="L5" s="18" t="str">
        <x:v>舒适感 64.4%；愉悦与氛围感 24.1%；便捷性 6.9%；无 3.4%；其他 1.1%</x:v>
      </x:c>
      <x:c r="M5" s="18" t="str">
        <x:v>魅力型（A）</x:v>
      </x:c>
      <x:c r="N5" s="18" t="str">
        <x:v>强化为卖点</x:v>
      </x:c>
      <x:c r="O5" s="18" t="str">
        <x:v>可作为感知亮点展示，增强记忆点与差异化。</x:v>
      </x:c>
    </x:row>
    <x:row r="6">
      <x:c r="A6" s="18" t="str">
        <x:v>操作交互触点</x:v>
      </x:c>
      <x:c r="B6" s="18" t="str">
        <x:v>交互功能</x:v>
      </x:c>
      <x:c r="C6" s="26" t="n">
        <x:v>55</x:v>
      </x:c>
      <x:c r="D6" s="28" t="n">
        <x:f>C6/$B$2</x:f>
        <x:v>0.26066350710900477</x:v>
      </x:c>
      <x:c r="E6" s="26" t="n">
        <x:v>30</x:v>
      </x:c>
      <x:c r="F6" s="26" t="n">
        <x:v>25</x:v>
      </x:c>
      <x:c r="G6" s="26" t="n">
        <x:v>0</x:v>
      </x:c>
      <x:c r="H6" s="28" t="n">
        <x:f>E6/C6</x:f>
        <x:v>0.5454545454545454</x:v>
      </x:c>
      <x:c r="I6" s="28" t="n">
        <x:f>F6/C6</x:f>
        <x:v>0.45454545454545453</x:v>
      </x:c>
      <x:c r="J6" s="28" t="n">
        <x:f>G6/C6</x:f>
        <x:v>0</x:v>
      </x:c>
      <x:c r="K6" s="18" t="str">
        <x:v>便捷性</x:v>
      </x:c>
      <x:c r="L6" s="18" t="str">
        <x:v>便捷性 40.0%；愉悦与氛围感 29.1%；无 14.5%；舒适感 9.1%；其他 7.3%</x:v>
      </x:c>
      <x:c r="M6" s="18" t="str">
        <x:v>魅力型（A）</x:v>
      </x:c>
      <x:c r="N6" s="18" t="str">
        <x:v>强化为卖点</x:v>
      </x:c>
      <x:c r="O6" s="18" t="str">
        <x:v>可作为感知亮点展示，增强记忆点与差异化。</x:v>
      </x:c>
    </x:row>
    <x:row r="7">
      <x:c r="A7" s="18" t="str">
        <x:v>视觉触点</x:v>
      </x:c>
      <x:c r="B7" s="18" t="str">
        <x:v>空间氛围</x:v>
      </x:c>
      <x:c r="C7" s="26" t="n">
        <x:v>40</x:v>
      </x:c>
      <x:c r="D7" s="28" t="n">
        <x:f>C7/$B$2</x:f>
        <x:v>0.1895734597156398</x:v>
      </x:c>
      <x:c r="E7" s="26" t="n">
        <x:v>18</x:v>
      </x:c>
      <x:c r="F7" s="26" t="n">
        <x:v>22</x:v>
      </x:c>
      <x:c r="G7" s="26" t="n">
        <x:v>0</x:v>
      </x:c>
      <x:c r="H7" s="28" t="n">
        <x:f>E7/C7</x:f>
        <x:v>0.45</x:v>
      </x:c>
      <x:c r="I7" s="28" t="n">
        <x:f>F7/C7</x:f>
        <x:v>0.55</x:v>
      </x:c>
      <x:c r="J7" s="28" t="n">
        <x:f>G7/C7</x:f>
        <x:v>0</x:v>
      </x:c>
      <x:c r="K7" s="18" t="str">
        <x:v>愉悦与氛围感</x:v>
      </x:c>
      <x:c r="L7" s="18" t="str">
        <x:v>愉悦与氛围感 80.0%；舒适感 10.0%；便捷性 5.0%；美观与价值感 2.5%；其他 2.5%</x:v>
      </x:c>
      <x:c r="M7" s="18" t="str">
        <x:v>魅力型（A）</x:v>
      </x:c>
      <x:c r="N7" s="18" t="str">
        <x:v>强化为卖点</x:v>
      </x:c>
      <x:c r="O7" s="18" t="str">
        <x:v>可作为感知亮点展示，增强记忆点与差异化。</x:v>
      </x:c>
    </x:row>
    <x:row r="8">
      <x:c r="A8" s="18" t="str">
        <x:v>视觉触点</x:v>
      </x:c>
      <x:c r="B8" s="18" t="str">
        <x:v>视觉舒适</x:v>
      </x:c>
      <x:c r="C8" s="26" t="n">
        <x:v>11</x:v>
      </x:c>
      <x:c r="D8" s="28" t="n">
        <x:f>C8/$B$2</x:f>
        <x:v>0.052132701421800945</x:v>
      </x:c>
      <x:c r="E8" s="26" t="n">
        <x:v>4</x:v>
      </x:c>
      <x:c r="F8" s="26" t="n">
        <x:v>5</x:v>
      </x:c>
      <x:c r="G8" s="26" t="n">
        <x:v>2</x:v>
      </x:c>
      <x:c r="H8" s="28" t="n">
        <x:f>E8/C8</x:f>
        <x:v>0.36363636363636365</x:v>
      </x:c>
      <x:c r="I8" s="28" t="n">
        <x:f>F8/C8</x:f>
        <x:v>0.45454545454545453</x:v>
      </x:c>
      <x:c r="J8" s="28" t="n">
        <x:f>G8/C8</x:f>
        <x:v>0.18181818181818182</x:v>
      </x:c>
      <x:c r="K8" s="18" t="str">
        <x:v>舒适感</x:v>
      </x:c>
      <x:c r="L8" s="18" t="str">
        <x:v>舒适感 72.7%；愉悦与氛围感 18.2%；便捷性 9.1%</x:v>
      </x:c>
      <x:c r="M8" s="18" t="str">
        <x:v>期望型（O）</x:v>
      </x:c>
      <x:c r="N8" s="18" t="str">
        <x:v>重点优化</x:v>
      </x:c>
      <x:c r="O8" s="18" t="str">
        <x:v>持续提升一致性，做得越好越能提高满意度。</x:v>
      </x:c>
    </x:row>
    <x:row r="9">
      <x:c r="A9" s="18" t="str">
        <x:v>视觉触点</x:v>
      </x:c>
      <x:c r="B9" s="18" t="str">
        <x:v>形体造型</x:v>
      </x:c>
      <x:c r="C9" s="26" t="n">
        <x:v>6</x:v>
      </x:c>
      <x:c r="D9" s="28" t="n">
        <x:f>C9/$B$2</x:f>
        <x:v>0.02843601895734597</x:v>
      </x:c>
      <x:c r="E9" s="26" t="n">
        <x:v>3</x:v>
      </x:c>
      <x:c r="F9" s="26" t="n">
        <x:v>3</x:v>
      </x:c>
      <x:c r="G9" s="26" t="n">
        <x:v>0</x:v>
      </x:c>
      <x:c r="H9" s="28" t="n">
        <x:f>E9/C9</x:f>
        <x:v>0.5</x:v>
      </x:c>
      <x:c r="I9" s="28" t="n">
        <x:f>F9/C9</x:f>
        <x:v>0.5</x:v>
      </x:c>
      <x:c r="J9" s="28" t="n">
        <x:f>G9/C9</x:f>
        <x:v>0</x:v>
      </x:c>
      <x:c r="K9" s="18" t="str">
        <x:v>美观与价值感</x:v>
      </x:c>
      <x:c r="L9" s="18" t="str">
        <x:v>美观与价值感 100.0%</x:v>
      </x:c>
      <x:c r="M9" s="18" t="str">
        <x:v>魅力型（A）</x:v>
      </x:c>
      <x:c r="N9" s="18" t="str">
        <x:v>适度强化</x:v>
      </x:c>
      <x:c r="O9" s="18" t="str">
        <x:v>可作为感知亮点展示，增强记忆点与差异化。</x:v>
      </x:c>
    </x:row>
    <x:row r="10">
      <x:c r="A10" s="18" t="str">
        <x:v>视觉触点</x:v>
      </x:c>
      <x:c r="B10" s="18" t="str">
        <x:v>风格设计</x:v>
      </x:c>
      <x:c r="C10" s="26" t="n">
        <x:v>4</x:v>
      </x:c>
      <x:c r="D10" s="28" t="n">
        <x:f>C10/$B$2</x:f>
        <x:v>0.018957345971563982</x:v>
      </x:c>
      <x:c r="E10" s="26" t="n">
        <x:v>3</x:v>
      </x:c>
      <x:c r="F10" s="26" t="n">
        <x:v>1</x:v>
      </x:c>
      <x:c r="G10" s="26" t="n">
        <x:v>0</x:v>
      </x:c>
      <x:c r="H10" s="28" t="n">
        <x:f>E10/C10</x:f>
        <x:v>0.75</x:v>
      </x:c>
      <x:c r="I10" s="28" t="n">
        <x:f>F10/C10</x:f>
        <x:v>0.25</x:v>
      </x:c>
      <x:c r="J10" s="28" t="n">
        <x:f>G10/C10</x:f>
        <x:v>0</x:v>
      </x:c>
      <x:c r="K10" s="18" t="str">
        <x:v>愉悦与氛围感</x:v>
      </x:c>
      <x:c r="L10" s="18" t="str">
        <x:v>愉悦与氛围感 50.0%；便捷性 25.0%；美观与价值感 25.0%</x:v>
      </x:c>
      <x:c r="M10" s="18" t="str">
        <x:v>样本不足（待验证）</x:v>
      </x:c>
      <x:c r="N10" s="18" t="str">
        <x:v>补样本验证</x:v>
      </x:c>
      <x:c r="O10" s="18" t="str">
        <x:v>当前样本量偏低，需要结合访谈或补充评论验证。</x:v>
      </x:c>
    </x:row>
    <x:row r="11">
      <x:c r="A11" s="18" t="str">
        <x:v>视觉触点</x:v>
      </x:c>
      <x:c r="B11" s="18" t="str">
        <x:v>色彩</x:v>
      </x:c>
      <x:c r="C11" s="26" t="n">
        <x:v>3</x:v>
      </x:c>
      <x:c r="D11" s="28" t="n">
        <x:f>C11/$B$2</x:f>
        <x:v>0.014218009478672985</x:v>
      </x:c>
      <x:c r="E11" s="26" t="n">
        <x:v>2</x:v>
      </x:c>
      <x:c r="F11" s="26" t="n">
        <x:v>1</x:v>
      </x:c>
      <x:c r="G11" s="26" t="n">
        <x:v>0</x:v>
      </x:c>
      <x:c r="H11" s="28" t="n">
        <x:f>E11/C11</x:f>
        <x:v>0.6666666666666666</x:v>
      </x:c>
      <x:c r="I11" s="28" t="n">
        <x:f>F11/C11</x:f>
        <x:v>0.3333333333333333</x:v>
      </x:c>
      <x:c r="J11" s="28" t="n">
        <x:f>G11/C11</x:f>
        <x:v>0</x:v>
      </x:c>
      <x:c r="K11" s="18" t="str">
        <x:v>美观与价值感</x:v>
      </x:c>
      <x:c r="L11" s="18" t="str">
        <x:v>美观与价值感 66.7%；愉悦与氛围感 33.3%</x:v>
      </x:c>
      <x:c r="M11" s="18" t="str">
        <x:v>样本不足（待验证）</x:v>
      </x:c>
      <x:c r="N11" s="18" t="str">
        <x:v>补样本验证</x:v>
      </x:c>
      <x:c r="O11" s="18" t="str">
        <x:v>当前样本量偏低，需要结合访谈或补充评论验证。</x:v>
      </x:c>
    </x:row>
    <x:row r="12">
      <x:c r="A12" s="18" t="str">
        <x:v>触觉/近身质感触点</x:v>
      </x:c>
      <x:c r="B12" s="18" t="str">
        <x:v>材料质感</x:v>
      </x:c>
      <x:c r="C12" s="26" t="n">
        <x:v>3</x:v>
      </x:c>
      <x:c r="D12" s="28" t="n">
        <x:f>C12/$B$2</x:f>
        <x:v>0.014218009478672985</x:v>
      </x:c>
      <x:c r="E12" s="26" t="n">
        <x:v>1</x:v>
      </x:c>
      <x:c r="F12" s="26" t="n">
        <x:v>2</x:v>
      </x:c>
      <x:c r="G12" s="26" t="n">
        <x:v>0</x:v>
      </x:c>
      <x:c r="H12" s="28" t="n">
        <x:f>E12/C12</x:f>
        <x:v>0.3333333333333333</x:v>
      </x:c>
      <x:c r="I12" s="28" t="n">
        <x:f>F12/C12</x:f>
        <x:v>0.6666666666666666</x:v>
      </x:c>
      <x:c r="J12" s="28" t="n">
        <x:f>G12/C12</x:f>
        <x:v>0</x:v>
      </x:c>
      <x:c r="K12" s="18" t="str">
        <x:v>美观与价值感</x:v>
      </x:c>
      <x:c r="L12" s="18" t="str">
        <x:v>美观与价值感 100.0%</x:v>
      </x:c>
      <x:c r="M12" s="18" t="str">
        <x:v>样本不足（待验证）</x:v>
      </x:c>
      <x:c r="N12" s="18" t="str">
        <x:v>补样本验证</x:v>
      </x:c>
      <x:c r="O12" s="18" t="str">
        <x:v>当前样本量偏低，需要结合访谈或补充评论验证。</x:v>
      </x:c>
    </x:row>
    <x:row r="13">
      <x:c r="A13" s="19" t="str">
        <x:v>触觉/近身质感触点</x:v>
      </x:c>
      <x:c r="B13" s="19" t="str">
        <x:v>做工细节</x:v>
      </x:c>
      <x:c r="C13" s="27" t="n">
        <x:v>2</x:v>
      </x:c>
      <x:c r="D13" s="29" t="n">
        <x:f>C13/$B$2</x:f>
        <x:v>0.009478672985781991</x:v>
      </x:c>
      <x:c r="E13" s="27" t="n">
        <x:v>1</x:v>
      </x:c>
      <x:c r="F13" s="27" t="n">
        <x:v>1</x:v>
      </x:c>
      <x:c r="G13" s="27" t="n">
        <x:v>0</x:v>
      </x:c>
      <x:c r="H13" s="29" t="n">
        <x:f>E13/C13</x:f>
        <x:v>0.5</x:v>
      </x:c>
      <x:c r="I13" s="29" t="n">
        <x:f>F13/C13</x:f>
        <x:v>0.5</x:v>
      </x:c>
      <x:c r="J13" s="29" t="n">
        <x:f>G13/C13</x:f>
        <x:v>0</x:v>
      </x:c>
      <x:c r="K13" s="19" t="str">
        <x:v>便捷性</x:v>
      </x:c>
      <x:c r="L13" s="19" t="str">
        <x:v>便捷性 50.0%；美观与价值感 50.0%</x:v>
      </x:c>
      <x:c r="M13" s="19" t="str">
        <x:v>样本不足（待验证）</x:v>
      </x:c>
      <x:c r="N13" s="19" t="str">
        <x:v>补样本验证</x:v>
      </x:c>
      <x:c r="O13" s="19" t="str">
        <x:v>当前样本量偏低，需要结合访谈或补充评论验证。</x:v>
      </x:c>
    </x:row>
  </x:sheetData>
  <x:mergeCells>
    <x:mergeCell ref="A1:O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23" hidden="0" customWidth="1"/>
    <x:col min="3" max="3" width="12" hidden="0" customWidth="1"/>
    <x:col min="4" max="4" width="14" hidden="0" customWidth="1"/>
    <x:col min="5" max="5" width="10" hidden="0" customWidth="1"/>
    <x:col min="6" max="6" width="10" hidden="0" customWidth="1"/>
    <x:col min="7" max="7" width="10" hidden="0" customWidth="1"/>
    <x:col min="8" max="8" width="11" hidden="0" customWidth="1"/>
    <x:col min="9" max="9" width="11" hidden="0" customWidth="1"/>
    <x:col min="10" max="10" width="11" hidden="0" customWidth="1"/>
    <x:col min="11" max="11" width="20" hidden="0" customWidth="1"/>
    <x:col min="12" max="12" width="55" hidden="0" customWidth="1"/>
    <x:col min="13" max="13" width="23" hidden="0" customWidth="1"/>
    <x:col min="14" max="14" width="22" hidden="0" customWidth="1"/>
    <x:col min="15" max="15" width="52" hidden="0" customWidth="1"/>
  </x:cols>
  <x:sheetData>
    <x:row r="1" ht="27" customHeight="1">
      <x:c r="A1" s="3" t="str">
        <x:v>学习工作｜Kano 触点分析表</x:v>
      </x:c>
      <x:c r="B1" s="3" t="str">
        <x:v>学习工作｜Kano 触点分析表</x:v>
      </x:c>
      <x:c r="C1" s="3" t="str">
        <x:v>学习工作｜Kano 触点分析表</x:v>
      </x:c>
      <x:c r="D1" s="3" t="str">
        <x:v>学习工作｜Kano 触点分析表</x:v>
      </x:c>
      <x:c r="E1" s="3" t="str">
        <x:v>学习工作｜Kano 触点分析表</x:v>
      </x:c>
      <x:c r="F1" s="3" t="str">
        <x:v>学习工作｜Kano 触点分析表</x:v>
      </x:c>
      <x:c r="G1" s="3" t="str">
        <x:v>学习工作｜Kano 触点分析表</x:v>
      </x:c>
      <x:c r="H1" s="3" t="str">
        <x:v>学习工作｜Kano 触点分析表</x:v>
      </x:c>
      <x:c r="I1" s="3" t="str">
        <x:v>学习工作｜Kano 触点分析表</x:v>
      </x:c>
      <x:c r="J1" s="3" t="str">
        <x:v>学习工作｜Kano 触点分析表</x:v>
      </x:c>
      <x:c r="K1" s="3" t="str">
        <x:v>学习工作｜Kano 触点分析表</x:v>
      </x:c>
      <x:c r="L1" s="3" t="str">
        <x:v>学习工作｜Kano 触点分析表</x:v>
      </x:c>
      <x:c r="M1" s="3" t="str">
        <x:v>学习工作｜Kano 触点分析表</x:v>
      </x:c>
      <x:c r="N1" s="3" t="str">
        <x:v>学习工作｜Kano 触点分析表</x:v>
      </x:c>
      <x:c r="O1" s="3" t="str">
        <x:v>学习工作｜Kano 触点分析表</x:v>
      </x:c>
    </x:row>
    <x:row r="2">
      <x:c r="A2" s="21" t="str">
        <x:v>场景总提及频次</x:v>
      </x:c>
      <x:c r="B2" s="21" t="n">
        <x:v>312</x:v>
      </x:c>
    </x:row>
    <x:row r="4" ht="28" customHeight="1">
      <x:c r="A4" s="12" t="str">
        <x:v>触点类型</x:v>
      </x:c>
      <x:c r="B4" s="25" t="str">
        <x:v>标准美学指标</x:v>
      </x:c>
      <x:c r="C4" s="25" t="str">
        <x:v>提及频次</x:v>
      </x:c>
      <x:c r="D4" s="25" t="str">
        <x:v>场景内占比</x:v>
      </x:c>
      <x:c r="E4" s="25" t="str">
        <x:v>正向数</x:v>
      </x:c>
      <x:c r="F4" s="25" t="str">
        <x:v>中性数</x:v>
      </x:c>
      <x:c r="G4" s="25" t="str">
        <x:v>负向数</x:v>
      </x:c>
      <x:c r="H4" s="25" t="str">
        <x:v>正向率</x:v>
      </x:c>
      <x:c r="I4" s="25" t="str">
        <x:v>中性率</x:v>
      </x:c>
      <x:c r="J4" s="25" t="str">
        <x:v>负向率</x:v>
      </x:c>
      <x:c r="K4" s="25" t="str">
        <x:v>主要用户感受</x:v>
      </x:c>
      <x:c r="L4" s="25" t="str">
        <x:v>用户感受占比分布</x:v>
      </x:c>
      <x:c r="M4" s="25" t="str">
        <x:v>Kano分类（legacy）</x:v>
      </x:c>
      <x:c r="N4" s="25" t="str">
        <x:v>设计优先级（legacy）</x:v>
      </x:c>
      <x:c r="O4" s="13" t="str">
        <x:v>设计含义/建议（legacy）</x:v>
      </x:c>
    </x:row>
    <x:row r="5">
      <x:c r="A5" s="18" t="str">
        <x:v>视觉触点</x:v>
      </x:c>
      <x:c r="B5" s="18" t="str">
        <x:v>照明与色调</x:v>
      </x:c>
      <x:c r="C5" s="26" t="n">
        <x:v>156</x:v>
      </x:c>
      <x:c r="D5" s="28" t="n">
        <x:f>C5/$B$2</x:f>
        <x:v>0.5</x:v>
      </x:c>
      <x:c r="E5" s="26" t="n">
        <x:v>80</x:v>
      </x:c>
      <x:c r="F5" s="26" t="n">
        <x:v>67</x:v>
      </x:c>
      <x:c r="G5" s="26" t="n">
        <x:v>9</x:v>
      </x:c>
      <x:c r="H5" s="28" t="n">
        <x:f>E5/C5</x:f>
        <x:v>0.5128205128205128</x:v>
      </x:c>
      <x:c r="I5" s="28" t="n">
        <x:f>F5/C5</x:f>
        <x:v>0.42948717948717946</x:v>
      </x:c>
      <x:c r="J5" s="28" t="n">
        <x:f>G5/C5</x:f>
        <x:v>0.057692307692307696</x:v>
      </x:c>
      <x:c r="K5" s="18" t="str">
        <x:v>舒适感</x:v>
      </x:c>
      <x:c r="L5" s="18" t="str">
        <x:v>舒适感 55.8%；专注 28.8%；便捷性 7.7%；愉悦与氛围感 3.8%；其他 3.8%</x:v>
      </x:c>
      <x:c r="M5" s="18" t="str">
        <x:v>期望型（O）</x:v>
      </x:c>
      <x:c r="N5" s="18" t="str">
        <x:v>重点优化</x:v>
      </x:c>
      <x:c r="O5" s="18" t="str">
        <x:v>持续提升一致性，做得越好越能提高满意度。</x:v>
      </x:c>
    </x:row>
    <x:row r="6">
      <x:c r="A6" s="18" t="str">
        <x:v>视觉触点</x:v>
      </x:c>
      <x:c r="B6" s="18" t="str">
        <x:v>视觉舒适</x:v>
      </x:c>
      <x:c r="C6" s="26" t="n">
        <x:v>59</x:v>
      </x:c>
      <x:c r="D6" s="28" t="n">
        <x:f>C6/$B$2</x:f>
        <x:v>0.1891025641025641</x:v>
      </x:c>
      <x:c r="E6" s="26" t="n">
        <x:v>21</x:v>
      </x:c>
      <x:c r="F6" s="26" t="n">
        <x:v>35</x:v>
      </x:c>
      <x:c r="G6" s="26" t="n">
        <x:v>3</x:v>
      </x:c>
      <x:c r="H6" s="28" t="n">
        <x:f>E6/C6</x:f>
        <x:v>0.3559322033898305</x:v>
      </x:c>
      <x:c r="I6" s="28" t="n">
        <x:f>F6/C6</x:f>
        <x:v>0.5932203389830508</x:v>
      </x:c>
      <x:c r="J6" s="28" t="n">
        <x:f>G6/C6</x:f>
        <x:v>0.05084745762711865</x:v>
      </x:c>
      <x:c r="K6" s="18" t="str">
        <x:v>舒适感</x:v>
      </x:c>
      <x:c r="L6" s="18" t="str">
        <x:v>舒适感 67.8%；专注 11.9%；美观与价值感 10.2%；便捷性 5.1%；其他 5.1%</x:v>
      </x:c>
      <x:c r="M6" s="18" t="str">
        <x:v>期望型（O）</x:v>
      </x:c>
      <x:c r="N6" s="18" t="str">
        <x:v>重点优化</x:v>
      </x:c>
      <x:c r="O6" s="18" t="str">
        <x:v>持续提升一致性，做得越好越能提高满意度。</x:v>
      </x:c>
    </x:row>
    <x:row r="7">
      <x:c r="A7" s="18" t="str">
        <x:v>操作交互触点</x:v>
      </x:c>
      <x:c r="B7" s="18" t="str">
        <x:v>交互功能</x:v>
      </x:c>
      <x:c r="C7" s="26" t="n">
        <x:v>47</x:v>
      </x:c>
      <x:c r="D7" s="28" t="n">
        <x:f>C7/$B$2</x:f>
        <x:v>0.15064102564102563</x:v>
      </x:c>
      <x:c r="E7" s="26" t="n">
        <x:v>21</x:v>
      </x:c>
      <x:c r="F7" s="26" t="n">
        <x:v>26</x:v>
      </x:c>
      <x:c r="G7" s="26" t="n">
        <x:v>0</x:v>
      </x:c>
      <x:c r="H7" s="28" t="n">
        <x:f>E7/C7</x:f>
        <x:v>0.44680851063829785</x:v>
      </x:c>
      <x:c r="I7" s="28" t="n">
        <x:f>F7/C7</x:f>
        <x:v>0.5531914893617021</x:v>
      </x:c>
      <x:c r="J7" s="28" t="n">
        <x:f>G7/C7</x:f>
        <x:v>0</x:v>
      </x:c>
      <x:c r="K7" s="18" t="str">
        <x:v>便捷性</x:v>
      </x:c>
      <x:c r="L7" s="18" t="str">
        <x:v>便捷性 48.9%；无 17.0%；专注 14.9%；愉悦与氛围感 12.8%；其他 6.4%</x:v>
      </x:c>
      <x:c r="M7" s="18" t="str">
        <x:v>魅力型（A）</x:v>
      </x:c>
      <x:c r="N7" s="18" t="str">
        <x:v>强化为卖点</x:v>
      </x:c>
      <x:c r="O7" s="18" t="str">
        <x:v>可作为感知亮点展示，增强记忆点与差异化。</x:v>
      </x:c>
    </x:row>
    <x:row r="8">
      <x:c r="A8" s="18" t="str">
        <x:v>视觉触点</x:v>
      </x:c>
      <x:c r="B8" s="18" t="str">
        <x:v>色彩</x:v>
      </x:c>
      <x:c r="C8" s="26" t="n">
        <x:v>15</x:v>
      </x:c>
      <x:c r="D8" s="28" t="n">
        <x:f>C8/$B$2</x:f>
        <x:v>0.04807692307692308</x:v>
      </x:c>
      <x:c r="E8" s="26" t="n">
        <x:v>7</x:v>
      </x:c>
      <x:c r="F8" s="26" t="n">
        <x:v>8</x:v>
      </x:c>
      <x:c r="G8" s="26" t="n">
        <x:v>0</x:v>
      </x:c>
      <x:c r="H8" s="28" t="n">
        <x:f>E8/C8</x:f>
        <x:v>0.4666666666666667</x:v>
      </x:c>
      <x:c r="I8" s="28" t="n">
        <x:f>F8/C8</x:f>
        <x:v>0.5333333333333333</x:v>
      </x:c>
      <x:c r="J8" s="28" t="n">
        <x:f>G8/C8</x:f>
        <x:v>0</x:v>
      </x:c>
      <x:c r="K8" s="18" t="str">
        <x:v>美观与价值感</x:v>
      </x:c>
      <x:c r="L8" s="18" t="str">
        <x:v>美观与价值感 66.7%；专注 20.0%；便捷性 6.7%；舒适感 6.7%</x:v>
      </x:c>
      <x:c r="M8" s="18" t="str">
        <x:v>魅力型（A）</x:v>
      </x:c>
      <x:c r="N8" s="18" t="str">
        <x:v>适度强化</x:v>
      </x:c>
      <x:c r="O8" s="18" t="str">
        <x:v>可作为感知亮点展示，增强记忆点与差异化。</x:v>
      </x:c>
    </x:row>
    <x:row r="9">
      <x:c r="A9" s="18" t="str">
        <x:v>视觉触点</x:v>
      </x:c>
      <x:c r="B9" s="18" t="str">
        <x:v>空间氛围</x:v>
      </x:c>
      <x:c r="C9" s="26" t="n">
        <x:v>14</x:v>
      </x:c>
      <x:c r="D9" s="28" t="n">
        <x:f>C9/$B$2</x:f>
        <x:v>0.04487179487179487</x:v>
      </x:c>
      <x:c r="E9" s="26" t="n">
        <x:v>9</x:v>
      </x:c>
      <x:c r="F9" s="26" t="n">
        <x:v>5</x:v>
      </x:c>
      <x:c r="G9" s="26" t="n">
        <x:v>0</x:v>
      </x:c>
      <x:c r="H9" s="28" t="n">
        <x:f>E9/C9</x:f>
        <x:v>0.6428571428571429</x:v>
      </x:c>
      <x:c r="I9" s="28" t="n">
        <x:f>F9/C9</x:f>
        <x:v>0.35714285714285715</x:v>
      </x:c>
      <x:c r="J9" s="28" t="n">
        <x:f>G9/C9</x:f>
        <x:v>0</x:v>
      </x:c>
      <x:c r="K9" s="18" t="str">
        <x:v>愉悦与氛围感</x:v>
      </x:c>
      <x:c r="L9" s="18" t="str">
        <x:v>愉悦与氛围感 42.9%；专注 28.6%；美观与价值感 14.3%；便捷性 7.1%；其他 7.1%</x:v>
      </x:c>
      <x:c r="M9" s="18" t="str">
        <x:v>魅力型（A）</x:v>
      </x:c>
      <x:c r="N9" s="18" t="str">
        <x:v>强化为卖点</x:v>
      </x:c>
      <x:c r="O9" s="18" t="str">
        <x:v>可作为感知亮点展示，增强记忆点与差异化。</x:v>
      </x:c>
    </x:row>
    <x:row r="10">
      <x:c r="A10" s="18" t="str">
        <x:v>视觉触点</x:v>
      </x:c>
      <x:c r="B10" s="18" t="str">
        <x:v>风格设计</x:v>
      </x:c>
      <x:c r="C10" s="26" t="n">
        <x:v>8</x:v>
      </x:c>
      <x:c r="D10" s="28" t="n">
        <x:f>C10/$B$2</x:f>
        <x:v>0.02564102564102564</x:v>
      </x:c>
      <x:c r="E10" s="26" t="n">
        <x:v>4</x:v>
      </x:c>
      <x:c r="F10" s="26" t="n">
        <x:v>3</x:v>
      </x:c>
      <x:c r="G10" s="26" t="n">
        <x:v>1</x:v>
      </x:c>
      <x:c r="H10" s="28" t="n">
        <x:f>E10/C10</x:f>
        <x:v>0.5</x:v>
      </x:c>
      <x:c r="I10" s="28" t="n">
        <x:f>F10/C10</x:f>
        <x:v>0.375</x:v>
      </x:c>
      <x:c r="J10" s="28" t="n">
        <x:f>G10/C10</x:f>
        <x:v>0.125</x:v>
      </x:c>
      <x:c r="K10" s="18" t="str">
        <x:v>美观与价值感</x:v>
      </x:c>
      <x:c r="L10" s="18" t="str">
        <x:v>美观与价值感 100.0%</x:v>
      </x:c>
      <x:c r="M10" s="18" t="str">
        <x:v>期望型（O）</x:v>
      </x:c>
      <x:c r="N10" s="18" t="str">
        <x:v>重点优化</x:v>
      </x:c>
      <x:c r="O10" s="18" t="str">
        <x:v>持续提升一致性，做得越好越能提高满意度。</x:v>
      </x:c>
    </x:row>
    <x:row r="11">
      <x:c r="A11" s="18" t="str">
        <x:v>视觉触点</x:v>
      </x:c>
      <x:c r="B11" s="18" t="str">
        <x:v>形体造型</x:v>
      </x:c>
      <x:c r="C11" s="26" t="n">
        <x:v>8</x:v>
      </x:c>
      <x:c r="D11" s="28" t="n">
        <x:f>C11/$B$2</x:f>
        <x:v>0.02564102564102564</x:v>
      </x:c>
      <x:c r="E11" s="26" t="n">
        <x:v>6</x:v>
      </x:c>
      <x:c r="F11" s="26" t="n">
        <x:v>2</x:v>
      </x:c>
      <x:c r="G11" s="26" t="n">
        <x:v>0</x:v>
      </x:c>
      <x:c r="H11" s="28" t="n">
        <x:f>E11/C11</x:f>
        <x:v>0.75</x:v>
      </x:c>
      <x:c r="I11" s="28" t="n">
        <x:f>F11/C11</x:f>
        <x:v>0.25</x:v>
      </x:c>
      <x:c r="J11" s="28" t="n">
        <x:f>G11/C11</x:f>
        <x:v>0</x:v>
      </x:c>
      <x:c r="K11" s="18" t="str">
        <x:v>美观与价值感</x:v>
      </x:c>
      <x:c r="L11" s="18" t="str">
        <x:v>美观与价值感 62.5%；便捷性 12.5%；专注 12.5%；愉悦与氛围感 12.5%</x:v>
      </x:c>
      <x:c r="M11" s="18" t="str">
        <x:v>魅力型（A）</x:v>
      </x:c>
      <x:c r="N11" s="18" t="str">
        <x:v>强化为卖点</x:v>
      </x:c>
      <x:c r="O11" s="18" t="str">
        <x:v>可作为感知亮点展示，增强记忆点与差异化。</x:v>
      </x:c>
    </x:row>
    <x:row r="12">
      <x:c r="A12" s="18" t="str">
        <x:v>触觉/近身质感触点</x:v>
      </x:c>
      <x:c r="B12" s="18" t="str">
        <x:v>做工细节</x:v>
      </x:c>
      <x:c r="C12" s="26" t="n">
        <x:v>3</x:v>
      </x:c>
      <x:c r="D12" s="28" t="n">
        <x:f>C12/$B$2</x:f>
        <x:v>0.009615384615384616</x:v>
      </x:c>
      <x:c r="E12" s="26" t="n">
        <x:v>2</x:v>
      </x:c>
      <x:c r="F12" s="26" t="n">
        <x:v>1</x:v>
      </x:c>
      <x:c r="G12" s="26" t="n">
        <x:v>0</x:v>
      </x:c>
      <x:c r="H12" s="28" t="n">
        <x:f>E12/C12</x:f>
        <x:v>0.6666666666666666</x:v>
      </x:c>
      <x:c r="I12" s="28" t="n">
        <x:f>F12/C12</x:f>
        <x:v>0.3333333333333333</x:v>
      </x:c>
      <x:c r="J12" s="28" t="n">
        <x:f>G12/C12</x:f>
        <x:v>0</x:v>
      </x:c>
      <x:c r="K12" s="18" t="str">
        <x:v>美观与价值感</x:v>
      </x:c>
      <x:c r="L12" s="18" t="str">
        <x:v>美观与价值感 66.7%；舒适感 33.3%</x:v>
      </x:c>
      <x:c r="M12" s="18" t="str">
        <x:v>样本不足（待验证）</x:v>
      </x:c>
      <x:c r="N12" s="18" t="str">
        <x:v>补样本验证</x:v>
      </x:c>
      <x:c r="O12" s="18" t="str">
        <x:v>当前样本量偏低，需要结合访谈或补充评论验证。</x:v>
      </x:c>
    </x:row>
    <x:row r="13">
      <x:c r="A13" s="19" t="str">
        <x:v>触觉/近身质感触点</x:v>
      </x:c>
      <x:c r="B13" s="19" t="str">
        <x:v>材料质感</x:v>
      </x:c>
      <x:c r="C13" s="27" t="n">
        <x:v>2</x:v>
      </x:c>
      <x:c r="D13" s="29" t="n">
        <x:f>C13/$B$2</x:f>
        <x:v>0.00641025641025641</x:v>
      </x:c>
      <x:c r="E13" s="27" t="n">
        <x:v>1</x:v>
      </x:c>
      <x:c r="F13" s="27" t="n">
        <x:v>1</x:v>
      </x:c>
      <x:c r="G13" s="27" t="n">
        <x:v>0</x:v>
      </x:c>
      <x:c r="H13" s="29" t="n">
        <x:f>E13/C13</x:f>
        <x:v>0.5</x:v>
      </x:c>
      <x:c r="I13" s="29" t="n">
        <x:f>F13/C13</x:f>
        <x:v>0.5</x:v>
      </x:c>
      <x:c r="J13" s="29" t="n">
        <x:f>G13/C13</x:f>
        <x:v>0</x:v>
      </x:c>
      <x:c r="K13" s="19" t="str">
        <x:v>美观与价值感</x:v>
      </x:c>
      <x:c r="L13" s="19" t="str">
        <x:v>美观与价值感 100.0%</x:v>
      </x:c>
      <x:c r="M13" s="19" t="str">
        <x:v>样本不足（待验证）</x:v>
      </x:c>
      <x:c r="N13" s="19" t="str">
        <x:v>补样本验证</x:v>
      </x:c>
      <x:c r="O13" s="19" t="str">
        <x:v>当前样本量偏低，需要结合访谈或补充评论验证。</x:v>
      </x:c>
    </x:row>
  </x:sheetData>
  <x:mergeCells>
    <x:mergeCell ref="A1:O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23" hidden="0" customWidth="1"/>
    <x:col min="3" max="3" width="12" hidden="0" customWidth="1"/>
    <x:col min="4" max="4" width="14" hidden="0" customWidth="1"/>
    <x:col min="5" max="5" width="10" hidden="0" customWidth="1"/>
    <x:col min="6" max="6" width="10" hidden="0" customWidth="1"/>
    <x:col min="7" max="7" width="10" hidden="0" customWidth="1"/>
    <x:col min="8" max="8" width="11" hidden="0" customWidth="1"/>
    <x:col min="9" max="9" width="11" hidden="0" customWidth="1"/>
    <x:col min="10" max="10" width="11" hidden="0" customWidth="1"/>
    <x:col min="11" max="11" width="20" hidden="0" customWidth="1"/>
    <x:col min="12" max="12" width="55" hidden="0" customWidth="1"/>
    <x:col min="13" max="13" width="23" hidden="0" customWidth="1"/>
    <x:col min="14" max="14" width="22" hidden="0" customWidth="1"/>
    <x:col min="15" max="15" width="52" hidden="0" customWidth="1"/>
  </x:cols>
  <x:sheetData>
    <x:row r="1" ht="27" customHeight="1">
      <x:c r="A1" s="3" t="str">
        <x:v>智能托管｜Kano 触点分析表</x:v>
      </x:c>
      <x:c r="B1" s="3" t="str">
        <x:v>智能托管｜Kano 触点分析表</x:v>
      </x:c>
      <x:c r="C1" s="3" t="str">
        <x:v>智能托管｜Kano 触点分析表</x:v>
      </x:c>
      <x:c r="D1" s="3" t="str">
        <x:v>智能托管｜Kano 触点分析表</x:v>
      </x:c>
      <x:c r="E1" s="3" t="str">
        <x:v>智能托管｜Kano 触点分析表</x:v>
      </x:c>
      <x:c r="F1" s="3" t="str">
        <x:v>智能托管｜Kano 触点分析表</x:v>
      </x:c>
      <x:c r="G1" s="3" t="str">
        <x:v>智能托管｜Kano 触点分析表</x:v>
      </x:c>
      <x:c r="H1" s="3" t="str">
        <x:v>智能托管｜Kano 触点分析表</x:v>
      </x:c>
      <x:c r="I1" s="3" t="str">
        <x:v>智能托管｜Kano 触点分析表</x:v>
      </x:c>
      <x:c r="J1" s="3" t="str">
        <x:v>智能托管｜Kano 触点分析表</x:v>
      </x:c>
      <x:c r="K1" s="3" t="str">
        <x:v>智能托管｜Kano 触点分析表</x:v>
      </x:c>
      <x:c r="L1" s="3" t="str">
        <x:v>智能托管｜Kano 触点分析表</x:v>
      </x:c>
      <x:c r="M1" s="3" t="str">
        <x:v>智能托管｜Kano 触点分析表</x:v>
      </x:c>
      <x:c r="N1" s="3" t="str">
        <x:v>智能托管｜Kano 触点分析表</x:v>
      </x:c>
      <x:c r="O1" s="3" t="str">
        <x:v>智能托管｜Kano 触点分析表</x:v>
      </x:c>
    </x:row>
    <x:row r="2">
      <x:c r="A2" s="21" t="str">
        <x:v>场景总提及频次</x:v>
      </x:c>
      <x:c r="B2" s="21" t="n">
        <x:v>283</x:v>
      </x:c>
    </x:row>
    <x:row r="4" ht="28" customHeight="1">
      <x:c r="A4" s="12" t="str">
        <x:v>触点类型</x:v>
      </x:c>
      <x:c r="B4" s="25" t="str">
        <x:v>标准美学指标</x:v>
      </x:c>
      <x:c r="C4" s="25" t="str">
        <x:v>提及频次</x:v>
      </x:c>
      <x:c r="D4" s="25" t="str">
        <x:v>场景内占比</x:v>
      </x:c>
      <x:c r="E4" s="25" t="str">
        <x:v>正向数</x:v>
      </x:c>
      <x:c r="F4" s="25" t="str">
        <x:v>中性数</x:v>
      </x:c>
      <x:c r="G4" s="25" t="str">
        <x:v>负向数</x:v>
      </x:c>
      <x:c r="H4" s="25" t="str">
        <x:v>正向率</x:v>
      </x:c>
      <x:c r="I4" s="25" t="str">
        <x:v>中性率</x:v>
      </x:c>
      <x:c r="J4" s="25" t="str">
        <x:v>负向率</x:v>
      </x:c>
      <x:c r="K4" s="25" t="str">
        <x:v>主要用户感受</x:v>
      </x:c>
      <x:c r="L4" s="25" t="str">
        <x:v>用户感受占比分布</x:v>
      </x:c>
      <x:c r="M4" s="25" t="str">
        <x:v>Kano分类（legacy）</x:v>
      </x:c>
      <x:c r="N4" s="25" t="str">
        <x:v>设计优先级（legacy）</x:v>
      </x:c>
      <x:c r="O4" s="13" t="str">
        <x:v>设计含义/建议（legacy）</x:v>
      </x:c>
    </x:row>
    <x:row r="5">
      <x:c r="A5" s="18" t="str">
        <x:v>操作交互触点</x:v>
      </x:c>
      <x:c r="B5" s="18" t="str">
        <x:v>交互功能</x:v>
      </x:c>
      <x:c r="C5" s="26" t="n">
        <x:v>159</x:v>
      </x:c>
      <x:c r="D5" s="28" t="n">
        <x:f>C5/$B$2</x:f>
        <x:v>0.5618374558303887</x:v>
      </x:c>
      <x:c r="E5" s="26" t="n">
        <x:v>83</x:v>
      </x:c>
      <x:c r="F5" s="26" t="n">
        <x:v>74</x:v>
      </x:c>
      <x:c r="G5" s="26" t="n">
        <x:v>2</x:v>
      </x:c>
      <x:c r="H5" s="28" t="n">
        <x:f>E5/C5</x:f>
        <x:v>0.5220125786163522</x:v>
      </x:c>
      <x:c r="I5" s="28" t="n">
        <x:f>F5/C5</x:f>
        <x:v>0.46540880503144655</x:v>
      </x:c>
      <x:c r="J5" s="28" t="n">
        <x:f>G5/C5</x:f>
        <x:v>0.012578616352201259</x:v>
      </x:c>
      <x:c r="K5" s="18" t="str">
        <x:v>便捷性</x:v>
      </x:c>
      <x:c r="L5" s="18" t="str">
        <x:v>便捷性 77.4%；舒适感 8.2%；愉悦与氛围感 6.9%；美观与价值感 6.3%；其他 1.3%</x:v>
      </x:c>
      <x:c r="M5" s="18" t="str">
        <x:v>魅力型（A）</x:v>
      </x:c>
      <x:c r="N5" s="18" t="str">
        <x:v>强化为卖点</x:v>
      </x:c>
      <x:c r="O5" s="18" t="str">
        <x:v>可作为感知亮点展示，增强记忆点与差异化。</x:v>
      </x:c>
    </x:row>
    <x:row r="6">
      <x:c r="A6" s="18" t="str">
        <x:v>视觉触点</x:v>
      </x:c>
      <x:c r="B6" s="18" t="str">
        <x:v>照明与色调</x:v>
      </x:c>
      <x:c r="C6" s="26" t="n">
        <x:v>73</x:v>
      </x:c>
      <x:c r="D6" s="28" t="n">
        <x:f>C6/$B$2</x:f>
        <x:v>0.2579505300353357</x:v>
      </x:c>
      <x:c r="E6" s="26" t="n">
        <x:v>28</x:v>
      </x:c>
      <x:c r="F6" s="26" t="n">
        <x:v>42</x:v>
      </x:c>
      <x:c r="G6" s="26" t="n">
        <x:v>3</x:v>
      </x:c>
      <x:c r="H6" s="28" t="n">
        <x:f>E6/C6</x:f>
        <x:v>0.3835616438356164</x:v>
      </x:c>
      <x:c r="I6" s="28" t="n">
        <x:f>F6/C6</x:f>
        <x:v>0.5753424657534246</x:v>
      </x:c>
      <x:c r="J6" s="28" t="n">
        <x:f>G6/C6</x:f>
        <x:v>0.0410958904109589</x:v>
      </x:c>
      <x:c r="K6" s="18" t="str">
        <x:v>舒适感</x:v>
      </x:c>
      <x:c r="L6" s="18" t="str">
        <x:v>舒适感 58.9%；便捷性 16.4%；愉悦与氛围感 9.6%；美观与价值感 8.2%；其他 6.8%</x:v>
      </x:c>
      <x:c r="M6" s="18" t="str">
        <x:v>魅力型（A）</x:v>
      </x:c>
      <x:c r="N6" s="18" t="str">
        <x:v>强化为卖点</x:v>
      </x:c>
      <x:c r="O6" s="18" t="str">
        <x:v>可作为感知亮点展示，增强记忆点与差异化。</x:v>
      </x:c>
    </x:row>
    <x:row r="7">
      <x:c r="A7" s="18" t="str">
        <x:v>视觉触点</x:v>
      </x:c>
      <x:c r="B7" s="18" t="str">
        <x:v>色彩</x:v>
      </x:c>
      <x:c r="C7" s="26" t="n">
        <x:v>14</x:v>
      </x:c>
      <x:c r="D7" s="28" t="n">
        <x:f>C7/$B$2</x:f>
        <x:v>0.04946996466431095</x:v>
      </x:c>
      <x:c r="E7" s="26" t="n">
        <x:v>6</x:v>
      </x:c>
      <x:c r="F7" s="26" t="n">
        <x:v>8</x:v>
      </x:c>
      <x:c r="G7" s="26" t="n">
        <x:v>0</x:v>
      </x:c>
      <x:c r="H7" s="28" t="n">
        <x:f>E7/C7</x:f>
        <x:v>0.42857142857142855</x:v>
      </x:c>
      <x:c r="I7" s="28" t="n">
        <x:f>F7/C7</x:f>
        <x:v>0.5714285714285714</x:v>
      </x:c>
      <x:c r="J7" s="28" t="n">
        <x:f>G7/C7</x:f>
        <x:v>0</x:v>
      </x:c>
      <x:c r="K7" s="18" t="str">
        <x:v>美观与价值感</x:v>
      </x:c>
      <x:c r="L7" s="18" t="str">
        <x:v>美观与价值感 35.7%；便捷性 35.7%；愉悦与氛围感 14.3%；舒适感 7.1%；其他 7.1%</x:v>
      </x:c>
      <x:c r="M7" s="18" t="str">
        <x:v>魅力型（A）</x:v>
      </x:c>
      <x:c r="N7" s="18" t="str">
        <x:v>适度强化</x:v>
      </x:c>
      <x:c r="O7" s="18" t="str">
        <x:v>可作为感知亮点展示，增强记忆点与差异化。</x:v>
      </x:c>
    </x:row>
    <x:row r="8">
      <x:c r="A8" s="18" t="str">
        <x:v>视觉触点</x:v>
      </x:c>
      <x:c r="B8" s="18" t="str">
        <x:v>风格设计</x:v>
      </x:c>
      <x:c r="C8" s="26" t="n">
        <x:v>13</x:v>
      </x:c>
      <x:c r="D8" s="28" t="n">
        <x:f>C8/$B$2</x:f>
        <x:v>0.045936395759717315</x:v>
      </x:c>
      <x:c r="E8" s="26" t="n">
        <x:v>7</x:v>
      </x:c>
      <x:c r="F8" s="26" t="n">
        <x:v>6</x:v>
      </x:c>
      <x:c r="G8" s="26" t="n">
        <x:v>0</x:v>
      </x:c>
      <x:c r="H8" s="28" t="n">
        <x:f>E8/C8</x:f>
        <x:v>0.5384615384615384</x:v>
      </x:c>
      <x:c r="I8" s="28" t="n">
        <x:f>F8/C8</x:f>
        <x:v>0.46153846153846156</x:v>
      </x:c>
      <x:c r="J8" s="28" t="n">
        <x:f>G8/C8</x:f>
        <x:v>0</x:v>
      </x:c>
      <x:c r="K8" s="18" t="str">
        <x:v>美观与价值感</x:v>
      </x:c>
      <x:c r="L8" s="18" t="str">
        <x:v>美观与价值感 76.9%；便捷性 23.1%</x:v>
      </x:c>
      <x:c r="M8" s="18" t="str">
        <x:v>魅力型（A）</x:v>
      </x:c>
      <x:c r="N8" s="18" t="str">
        <x:v>适度强化</x:v>
      </x:c>
      <x:c r="O8" s="18" t="str">
        <x:v>可作为感知亮点展示，增强记忆点与差异化。</x:v>
      </x:c>
    </x:row>
    <x:row r="9">
      <x:c r="A9" s="18" t="str">
        <x:v>视觉触点</x:v>
      </x:c>
      <x:c r="B9" s="18" t="str">
        <x:v>空间氛围</x:v>
      </x:c>
      <x:c r="C9" s="26" t="n">
        <x:v>8</x:v>
      </x:c>
      <x:c r="D9" s="28" t="n">
        <x:f>C9/$B$2</x:f>
        <x:v>0.028268551236749116</x:v>
      </x:c>
      <x:c r="E9" s="26" t="n">
        <x:v>2</x:v>
      </x:c>
      <x:c r="F9" s="26" t="n">
        <x:v>6</x:v>
      </x:c>
      <x:c r="G9" s="26" t="n">
        <x:v>0</x:v>
      </x:c>
      <x:c r="H9" s="28" t="n">
        <x:f>E9/C9</x:f>
        <x:v>0.25</x:v>
      </x:c>
      <x:c r="I9" s="28" t="n">
        <x:f>F9/C9</x:f>
        <x:v>0.75</x:v>
      </x:c>
      <x:c r="J9" s="28" t="n">
        <x:f>G9/C9</x:f>
        <x:v>0</x:v>
      </x:c>
      <x:c r="K9" s="18" t="str">
        <x:v>愉悦与氛围感</x:v>
      </x:c>
      <x:c r="L9" s="18" t="str">
        <x:v>愉悦与氛围感 62.5%；美观与价值感 25.0%；专注 12.5%</x:v>
      </x:c>
      <x:c r="M9" s="18" t="str">
        <x:v>无差异型（I）</x:v>
      </x:c>
      <x:c r="N9" s="18" t="str">
        <x:v>低优先级观察</x:v>
      </x:c>
      <x:c r="O9" s="18" t="str">
        <x:v>保持基本水平即可，资源优先投入高关注项。</x:v>
      </x:c>
    </x:row>
    <x:row r="10">
      <x:c r="A10" s="18" t="str">
        <x:v>视觉触点</x:v>
      </x:c>
      <x:c r="B10" s="18" t="str">
        <x:v>视觉舒适</x:v>
      </x:c>
      <x:c r="C10" s="26" t="n">
        <x:v>6</x:v>
      </x:c>
      <x:c r="D10" s="28" t="n">
        <x:f>C10/$B$2</x:f>
        <x:v>0.02120141342756184</x:v>
      </x:c>
      <x:c r="E10" s="26" t="n">
        <x:v>2</x:v>
      </x:c>
      <x:c r="F10" s="26" t="n">
        <x:v>4</x:v>
      </x:c>
      <x:c r="G10" s="26" t="n">
        <x:v>0</x:v>
      </x:c>
      <x:c r="H10" s="28" t="n">
        <x:f>E10/C10</x:f>
        <x:v>0.3333333333333333</x:v>
      </x:c>
      <x:c r="I10" s="28" t="n">
        <x:f>F10/C10</x:f>
        <x:v>0.6666666666666666</x:v>
      </x:c>
      <x:c r="J10" s="28" t="n">
        <x:f>G10/C10</x:f>
        <x:v>0</x:v>
      </x:c>
      <x:c r="K10" s="18" t="str">
        <x:v>舒适感</x:v>
      </x:c>
      <x:c r="L10" s="18" t="str">
        <x:v>舒适感 50.0%；愉悦与氛围感 16.7%；便捷性 16.7%；美观与价值感 16.7%</x:v>
      </x:c>
      <x:c r="M10" s="18" t="str">
        <x:v>无差异型（I）</x:v>
      </x:c>
      <x:c r="N10" s="18" t="str">
        <x:v>低优先级观察</x:v>
      </x:c>
      <x:c r="O10" s="18" t="str">
        <x:v>保持基本水平即可，资源优先投入高关注项。</x:v>
      </x:c>
    </x:row>
    <x:row r="11">
      <x:c r="A11" s="18" t="str">
        <x:v>触觉/近身质感触点</x:v>
      </x:c>
      <x:c r="B11" s="18" t="str">
        <x:v>材料质感</x:v>
      </x:c>
      <x:c r="C11" s="26" t="n">
        <x:v>4</x:v>
      </x:c>
      <x:c r="D11" s="28" t="n">
        <x:f>C11/$B$2</x:f>
        <x:v>0.014134275618374558</x:v>
      </x:c>
      <x:c r="E11" s="26" t="n">
        <x:v>0</x:v>
      </x:c>
      <x:c r="F11" s="26" t="n">
        <x:v>4</x:v>
      </x:c>
      <x:c r="G11" s="26" t="n">
        <x:v>0</x:v>
      </x:c>
      <x:c r="H11" s="28" t="n">
        <x:f>E11/C11</x:f>
        <x:v>0</x:v>
      </x:c>
      <x:c r="I11" s="28" t="n">
        <x:f>F11/C11</x:f>
        <x:v>1</x:v>
      </x:c>
      <x:c r="J11" s="28" t="n">
        <x:f>G11/C11</x:f>
        <x:v>0</x:v>
      </x:c>
      <x:c r="K11" s="18" t="str">
        <x:v>美观与价值感</x:v>
      </x:c>
      <x:c r="L11" s="18" t="str">
        <x:v>美观与价值感 75.0%；便捷性 25.0%</x:v>
      </x:c>
      <x:c r="M11" s="18" t="str">
        <x:v>样本不足（待验证）</x:v>
      </x:c>
      <x:c r="N11" s="18" t="str">
        <x:v>补样本验证</x:v>
      </x:c>
      <x:c r="O11" s="18" t="str">
        <x:v>当前样本量偏低，需要结合访谈或补充评论验证。</x:v>
      </x:c>
    </x:row>
    <x:row r="12">
      <x:c r="A12" s="18" t="str">
        <x:v>触觉/近身质感触点</x:v>
      </x:c>
      <x:c r="B12" s="18" t="str">
        <x:v>做工细节</x:v>
      </x:c>
      <x:c r="C12" s="26" t="n">
        <x:v>3</x:v>
      </x:c>
      <x:c r="D12" s="28" t="n">
        <x:f>C12/$B$2</x:f>
        <x:v>0.01060070671378092</x:v>
      </x:c>
      <x:c r="E12" s="26" t="n">
        <x:v>1</x:v>
      </x:c>
      <x:c r="F12" s="26" t="n">
        <x:v>2</x:v>
      </x:c>
      <x:c r="G12" s="26" t="n">
        <x:v>0</x:v>
      </x:c>
      <x:c r="H12" s="28" t="n">
        <x:f>E12/C12</x:f>
        <x:v>0.3333333333333333</x:v>
      </x:c>
      <x:c r="I12" s="28" t="n">
        <x:f>F12/C12</x:f>
        <x:v>0.6666666666666666</x:v>
      </x:c>
      <x:c r="J12" s="28" t="n">
        <x:f>G12/C12</x:f>
        <x:v>0</x:v>
      </x:c>
      <x:c r="K12" s="18" t="str">
        <x:v>美观与价值感</x:v>
      </x:c>
      <x:c r="L12" s="18" t="str">
        <x:v>美观与价值感 66.7%；愉悦与氛围感 33.3%</x:v>
      </x:c>
      <x:c r="M12" s="18" t="str">
        <x:v>样本不足（待验证）</x:v>
      </x:c>
      <x:c r="N12" s="18" t="str">
        <x:v>补样本验证</x:v>
      </x:c>
      <x:c r="O12" s="18" t="str">
        <x:v>当前样本量偏低，需要结合访谈或补充评论验证。</x:v>
      </x:c>
    </x:row>
    <x:row r="13">
      <x:c r="A13" s="19" t="str">
        <x:v>视觉触点</x:v>
      </x:c>
      <x:c r="B13" s="19" t="str">
        <x:v>形体造型</x:v>
      </x:c>
      <x:c r="C13" s="27" t="n">
        <x:v>3</x:v>
      </x:c>
      <x:c r="D13" s="29" t="n">
        <x:f>C13/$B$2</x:f>
        <x:v>0.01060070671378092</x:v>
      </x:c>
      <x:c r="E13" s="27" t="n">
        <x:v>0</x:v>
      </x:c>
      <x:c r="F13" s="27" t="n">
        <x:v>3</x:v>
      </x:c>
      <x:c r="G13" s="27" t="n">
        <x:v>0</x:v>
      </x:c>
      <x:c r="H13" s="29" t="n">
        <x:f>E13/C13</x:f>
        <x:v>0</x:v>
      </x:c>
      <x:c r="I13" s="29" t="n">
        <x:f>F13/C13</x:f>
        <x:v>1</x:v>
      </x:c>
      <x:c r="J13" s="29" t="n">
        <x:f>G13/C13</x:f>
        <x:v>0</x:v>
      </x:c>
      <x:c r="K13" s="19" t="str">
        <x:v>便捷性</x:v>
      </x:c>
      <x:c r="L13" s="19" t="str">
        <x:v>便捷性 33.3%；愉悦与氛围感 33.3%；舒适感 33.3%</x:v>
      </x:c>
      <x:c r="M13" s="19" t="str">
        <x:v>样本不足（待验证）</x:v>
      </x:c>
      <x:c r="N13" s="19" t="str">
        <x:v>补样本验证</x:v>
      </x:c>
      <x:c r="O13" s="19" t="str">
        <x:v>当前样本量偏低，需要结合访谈或补充评论验证。</x:v>
      </x:c>
    </x:row>
  </x:sheetData>
  <x:mergeCells>
    <x:mergeCell ref="A1:O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24" hidden="0" customWidth="1"/>
    <x:col min="3" max="3" width="23" hidden="0" customWidth="1"/>
    <x:col min="4" max="4" width="12" hidden="0" customWidth="1"/>
    <x:col min="5" max="5" width="14" hidden="0" customWidth="1"/>
    <x:col min="6" max="6" width="10" hidden="0" customWidth="1"/>
    <x:col min="7" max="7" width="10" hidden="0" customWidth="1"/>
    <x:col min="8" max="8" width="10" hidden="0" customWidth="1"/>
    <x:col min="9" max="9" width="11" hidden="0" customWidth="1"/>
    <x:col min="10" max="10" width="11" hidden="0" customWidth="1"/>
    <x:col min="11" max="11" width="11" hidden="0" customWidth="1"/>
    <x:col min="12" max="12" width="20" hidden="0" customWidth="1"/>
    <x:col min="13" max="13" width="55" hidden="0" customWidth="1"/>
    <x:col min="14" max="14" width="23" hidden="0" customWidth="1"/>
    <x:col min="15" max="15" width="22" hidden="0" customWidth="1"/>
  </x:cols>
  <x:sheetData>
    <x:row r="1" ht="27" customHeight="1">
      <x:c r="A1" s="3" t="str">
        <x:v>各使用场景 Kano 汇总（不含“无”场景）</x:v>
      </x:c>
      <x:c r="B1" s="3" t="str">
        <x:v>各使用场景 Kano 汇总（不含“无”场景）</x:v>
      </x:c>
      <x:c r="C1" s="3" t="str">
        <x:v>各使用场景 Kano 汇总（不含“无”场景）</x:v>
      </x:c>
      <x:c r="D1" s="3" t="str">
        <x:v>各使用场景 Kano 汇总（不含“无”场景）</x:v>
      </x:c>
      <x:c r="E1" s="3" t="str">
        <x:v>各使用场景 Kano 汇总（不含“无”场景）</x:v>
      </x:c>
      <x:c r="F1" s="3" t="str">
        <x:v>各使用场景 Kano 汇总（不含“无”场景）</x:v>
      </x:c>
      <x:c r="G1" s="3" t="str">
        <x:v>各使用场景 Kano 汇总（不含“无”场景）</x:v>
      </x:c>
      <x:c r="H1" s="3" t="str">
        <x:v>各使用场景 Kano 汇总（不含“无”场景）</x:v>
      </x:c>
      <x:c r="I1" s="3" t="str">
        <x:v>各使用场景 Kano 汇总（不含“无”场景）</x:v>
      </x:c>
      <x:c r="J1" s="3" t="str">
        <x:v>各使用场景 Kano 汇总（不含“无”场景）</x:v>
      </x:c>
      <x:c r="K1" s="3" t="str">
        <x:v>各使用场景 Kano 汇总（不含“无”场景）</x:v>
      </x:c>
      <x:c r="L1" s="3" t="str">
        <x:v>各使用场景 Kano 汇总（不含“无”场景）</x:v>
      </x:c>
      <x:c r="M1" s="3" t="str">
        <x:v>各使用场景 Kano 汇总（不含“无”场景）</x:v>
      </x:c>
      <x:c r="N1" s="3" t="str">
        <x:v>各使用场景 Kano 汇总（不含“无”场景）</x:v>
      </x:c>
      <x:c r="O1" s="3" t="str">
        <x:v>各使用场景 Kano 汇总（不含“无”场景）</x:v>
      </x:c>
    </x:row>
    <x:row r="3" ht="28" customHeight="1">
      <x:c r="A3" s="12" t="str">
        <x:v>使用场景</x:v>
      </x:c>
      <x:c r="B3" s="25" t="str">
        <x:v>触点类型</x:v>
      </x:c>
      <x:c r="C3" s="25" t="str">
        <x:v>标准美学指标</x:v>
      </x:c>
      <x:c r="D3" s="25" t="str">
        <x:v>提及频次</x:v>
      </x:c>
      <x:c r="E3" s="25" t="str">
        <x:v>场景内占比</x:v>
      </x:c>
      <x:c r="F3" s="25" t="str">
        <x:v>正向数</x:v>
      </x:c>
      <x:c r="G3" s="25" t="str">
        <x:v>中性数</x:v>
      </x:c>
      <x:c r="H3" s="25" t="str">
        <x:v>负向数</x:v>
      </x:c>
      <x:c r="I3" s="25" t="str">
        <x:v>正向率</x:v>
      </x:c>
      <x:c r="J3" s="25" t="str">
        <x:v>中性率</x:v>
      </x:c>
      <x:c r="K3" s="25" t="str">
        <x:v>负向率</x:v>
      </x:c>
      <x:c r="L3" s="25" t="str">
        <x:v>主要用户感受</x:v>
      </x:c>
      <x:c r="M3" s="25" t="str">
        <x:v>用户感受占比分布</x:v>
      </x:c>
      <x:c r="N3" s="25" t="str">
        <x:v>Kano分类（legacy）</x:v>
      </x:c>
      <x:c r="O3" s="13" t="str">
        <x:v>设计优先级（legacy）</x:v>
      </x:c>
    </x:row>
    <x:row r="4">
      <x:c r="A4" s="18" t="str">
        <x:v>亲子互动陪伴</x:v>
      </x:c>
      <x:c r="B4" s="18" t="str">
        <x:v>视觉触点</x:v>
      </x:c>
      <x:c r="C4" s="18" t="str">
        <x:v>照明与色调</x:v>
      </x:c>
      <x:c r="D4" s="26" t="n">
        <x:v>28</x:v>
      </x:c>
      <x:c r="E4" s="28" t="n">
        <x:f>D4/SUMIF($A$4:$A$55,A4,$D$4:$D$55)</x:f>
        <x:v>0.4375</x:v>
      </x:c>
      <x:c r="F4" s="26" t="n">
        <x:v>15</x:v>
      </x:c>
      <x:c r="G4" s="26" t="n">
        <x:v>7</x:v>
      </x:c>
      <x:c r="H4" s="26" t="n">
        <x:v>6</x:v>
      </x:c>
      <x:c r="I4" s="28" t="n">
        <x:f>F4/D4</x:f>
        <x:v>0.5357142857142857</x:v>
      </x:c>
      <x:c r="J4" s="28" t="n">
        <x:f>G4/D4</x:f>
        <x:v>0.25</x:v>
      </x:c>
      <x:c r="K4" s="28" t="n">
        <x:f>H4/D4</x:f>
        <x:v>0.21428571428571427</x:v>
      </x:c>
      <x:c r="L4" s="18" t="str">
        <x:v>舒适感</x:v>
      </x:c>
      <x:c r="M4" s="18" t="str">
        <x:v>舒适感 78.6%；安全感 7.1%；愉悦与氛围感 7.1%；专注 3.6%；其他 3.6%</x:v>
      </x:c>
      <x:c r="N4" s="18" t="str">
        <x:v>期望型（O）</x:v>
      </x:c>
      <x:c r="O4" s="18" t="str">
        <x:v>重点优化</x:v>
      </x:c>
    </x:row>
    <x:row r="5">
      <x:c r="A5" s="18" t="str">
        <x:v>亲子互动陪伴</x:v>
      </x:c>
      <x:c r="B5" s="18" t="str">
        <x:v>操作交互触点</x:v>
      </x:c>
      <x:c r="C5" s="18" t="str">
        <x:v>交互功能</x:v>
      </x:c>
      <x:c r="D5" s="26" t="n">
        <x:v>14</x:v>
      </x:c>
      <x:c r="E5" s="28" t="n">
        <x:f>D5/SUMIF($A$4:$A$55,A5,$D$4:$D$55)</x:f>
        <x:v>0.21875</x:v>
      </x:c>
      <x:c r="F5" s="26" t="n">
        <x:v>9</x:v>
      </x:c>
      <x:c r="G5" s="26" t="n">
        <x:v>5</x:v>
      </x:c>
      <x:c r="H5" s="26" t="n">
        <x:v>0</x:v>
      </x:c>
      <x:c r="I5" s="28" t="n">
        <x:f>F5/D5</x:f>
        <x:v>0.6428571428571429</x:v>
      </x:c>
      <x:c r="J5" s="28" t="n">
        <x:f>G5/D5</x:f>
        <x:v>0.35714285714285715</x:v>
      </x:c>
      <x:c r="K5" s="28" t="n">
        <x:f>H5/D5</x:f>
        <x:v>0</x:v>
      </x:c>
      <x:c r="L5" s="18" t="str">
        <x:v>便捷性</x:v>
      </x:c>
      <x:c r="M5" s="18" t="str">
        <x:v>便捷性 42.9%；愉悦与氛围感 21.4%；安全感 14.3%；舒适感 14.3%；其他 7.1%</x:v>
      </x:c>
      <x:c r="N5" s="18" t="str">
        <x:v>魅力型（A）</x:v>
      </x:c>
      <x:c r="O5" s="18" t="str">
        <x:v>强化为卖点</x:v>
      </x:c>
    </x:row>
    <x:row r="6">
      <x:c r="A6" s="18" t="str">
        <x:v>亲子互动陪伴</x:v>
      </x:c>
      <x:c r="B6" s="18" t="str">
        <x:v>视觉触点</x:v>
      </x:c>
      <x:c r="C6" s="18" t="str">
        <x:v>视觉舒适</x:v>
      </x:c>
      <x:c r="D6" s="26" t="n">
        <x:v>9</x:v>
      </x:c>
      <x:c r="E6" s="28" t="n">
        <x:f>D6/SUMIF($A$4:$A$55,A6,$D$4:$D$55)</x:f>
        <x:v>0.140625</x:v>
      </x:c>
      <x:c r="F6" s="26" t="n">
        <x:v>6</x:v>
      </x:c>
      <x:c r="G6" s="26" t="n">
        <x:v>2</x:v>
      </x:c>
      <x:c r="H6" s="26" t="n">
        <x:v>1</x:v>
      </x:c>
      <x:c r="I6" s="28" t="n">
        <x:f>F6/D6</x:f>
        <x:v>0.6666666666666666</x:v>
      </x:c>
      <x:c r="J6" s="28" t="n">
        <x:f>G6/D6</x:f>
        <x:v>0.2222222222222222</x:v>
      </x:c>
      <x:c r="K6" s="28" t="n">
        <x:f>H6/D6</x:f>
        <x:v>0.1111111111111111</x:v>
      </x:c>
      <x:c r="L6" s="18" t="str">
        <x:v>安全感</x:v>
      </x:c>
      <x:c r="M6" s="18" t="str">
        <x:v>安全感 44.4%；舒适感 33.3%；便捷性 11.1%；专注 11.1%</x:v>
      </x:c>
      <x:c r="N6" s="18" t="str">
        <x:v>期望型（O）</x:v>
      </x:c>
      <x:c r="O6" s="18" t="str">
        <x:v>重点优化</x:v>
      </x:c>
    </x:row>
    <x:row r="7">
      <x:c r="A7" s="18" t="str">
        <x:v>亲子互动陪伴</x:v>
      </x:c>
      <x:c r="B7" s="18" t="str">
        <x:v>视觉触点</x:v>
      </x:c>
      <x:c r="C7" s="18" t="str">
        <x:v>风格设计</x:v>
      </x:c>
      <x:c r="D7" s="26" t="n">
        <x:v>5</x:v>
      </x:c>
      <x:c r="E7" s="28" t="n">
        <x:f>D7/SUMIF($A$4:$A$55,A7,$D$4:$D$55)</x:f>
        <x:v>0.078125</x:v>
      </x:c>
      <x:c r="F7" s="26" t="n">
        <x:v>3</x:v>
      </x:c>
      <x:c r="G7" s="26" t="n">
        <x:v>2</x:v>
      </x:c>
      <x:c r="H7" s="26" t="n">
        <x:v>0</x:v>
      </x:c>
      <x:c r="I7" s="28" t="n">
        <x:f>F7/D7</x:f>
        <x:v>0.6</x:v>
      </x:c>
      <x:c r="J7" s="28" t="n">
        <x:f>G7/D7</x:f>
        <x:v>0.4</x:v>
      </x:c>
      <x:c r="K7" s="28" t="n">
        <x:f>H7/D7</x:f>
        <x:v>0</x:v>
      </x:c>
      <x:c r="L7" s="18" t="str">
        <x:v>美观与价值感</x:v>
      </x:c>
      <x:c r="M7" s="18" t="str">
        <x:v>美观与价值感 60.0%；愉悦与氛围感 40.0%</x:v>
      </x:c>
      <x:c r="N7" s="18" t="str">
        <x:v>魅力型（A）</x:v>
      </x:c>
      <x:c r="O7" s="18" t="str">
        <x:v>强化为卖点</x:v>
      </x:c>
    </x:row>
    <x:row r="8">
      <x:c r="A8" s="18" t="str">
        <x:v>亲子互动陪伴</x:v>
      </x:c>
      <x:c r="B8" s="18" t="str">
        <x:v>视觉触点</x:v>
      </x:c>
      <x:c r="C8" s="18" t="str">
        <x:v>色彩</x:v>
      </x:c>
      <x:c r="D8" s="26" t="n">
        <x:v>4</x:v>
      </x:c>
      <x:c r="E8" s="28" t="n">
        <x:f>D8/SUMIF($A$4:$A$55,A8,$D$4:$D$55)</x:f>
        <x:v>0.0625</x:v>
      </x:c>
      <x:c r="F8" s="26" t="n">
        <x:v>1</x:v>
      </x:c>
      <x:c r="G8" s="26" t="n">
        <x:v>3</x:v>
      </x:c>
      <x:c r="H8" s="26" t="n">
        <x:v>0</x:v>
      </x:c>
      <x:c r="I8" s="28" t="n">
        <x:f>F8/D8</x:f>
        <x:v>0.25</x:v>
      </x:c>
      <x:c r="J8" s="28" t="n">
        <x:f>G8/D8</x:f>
        <x:v>0.75</x:v>
      </x:c>
      <x:c r="K8" s="28" t="n">
        <x:f>H8/D8</x:f>
        <x:v>0</x:v>
      </x:c>
      <x:c r="L8" s="18" t="str">
        <x:v>美观与价值感</x:v>
      </x:c>
      <x:c r="M8" s="18" t="str">
        <x:v>美观与价值感 75.0%；舒适感 25.0%</x:v>
      </x:c>
      <x:c r="N8" s="18" t="str">
        <x:v>样本不足（待验证）</x:v>
      </x:c>
      <x:c r="O8" s="18" t="str">
        <x:v>补样本验证</x:v>
      </x:c>
    </x:row>
    <x:row r="9">
      <x:c r="A9" s="18" t="str">
        <x:v>亲子互动陪伴</x:v>
      </x:c>
      <x:c r="B9" s="18" t="str">
        <x:v>视觉触点</x:v>
      </x:c>
      <x:c r="C9" s="18" t="str">
        <x:v>形体造型</x:v>
      </x:c>
      <x:c r="D9" s="26" t="n">
        <x:v>3</x:v>
      </x:c>
      <x:c r="E9" s="28" t="n">
        <x:f>D9/SUMIF($A$4:$A$55,A9,$D$4:$D$55)</x:f>
        <x:v>0.046875</x:v>
      </x:c>
      <x:c r="F9" s="26" t="n">
        <x:v>1</x:v>
      </x:c>
      <x:c r="G9" s="26" t="n">
        <x:v>2</x:v>
      </x:c>
      <x:c r="H9" s="26" t="n">
        <x:v>0</x:v>
      </x:c>
      <x:c r="I9" s="28" t="n">
        <x:f>F9/D9</x:f>
        <x:v>0.3333333333333333</x:v>
      </x:c>
      <x:c r="J9" s="28" t="n">
        <x:f>G9/D9</x:f>
        <x:v>0.6666666666666666</x:v>
      </x:c>
      <x:c r="K9" s="28" t="n">
        <x:f>H9/D9</x:f>
        <x:v>0</x:v>
      </x:c>
      <x:c r="L9" s="18" t="str">
        <x:v>美观与价值感</x:v>
      </x:c>
      <x:c r="M9" s="18" t="str">
        <x:v>美观与价值感 66.7%；愉悦与氛围感 33.3%</x:v>
      </x:c>
      <x:c r="N9" s="18" t="str">
        <x:v>样本不足（待验证）</x:v>
      </x:c>
      <x:c r="O9" s="18" t="str">
        <x:v>补样本验证</x:v>
      </x:c>
    </x:row>
    <x:row r="10">
      <x:c r="A10" s="18" t="str">
        <x:v>亲子互动陪伴</x:v>
      </x:c>
      <x:c r="B10" s="18" t="str">
        <x:v>视觉触点</x:v>
      </x:c>
      <x:c r="C10" s="18" t="str">
        <x:v>空间氛围</x:v>
      </x:c>
      <x:c r="D10" s="26" t="n">
        <x:v>1</x:v>
      </x:c>
      <x:c r="E10" s="28" t="n">
        <x:f>D10/SUMIF($A$4:$A$55,A10,$D$4:$D$55)</x:f>
        <x:v>0.015625</x:v>
      </x:c>
      <x:c r="F10" s="26" t="n">
        <x:v>1</x:v>
      </x:c>
      <x:c r="G10" s="26" t="n">
        <x:v>0</x:v>
      </x:c>
      <x:c r="H10" s="26" t="n">
        <x:v>0</x:v>
      </x:c>
      <x:c r="I10" s="28" t="n">
        <x:f>F10/D10</x:f>
        <x:v>1</x:v>
      </x:c>
      <x:c r="J10" s="28" t="n">
        <x:f>G10/D10</x:f>
        <x:v>0</x:v>
      </x:c>
      <x:c r="K10" s="28" t="n">
        <x:f>H10/D10</x:f>
        <x:v>0</x:v>
      </x:c>
      <x:c r="L10" s="18" t="str">
        <x:v>愉悦与氛围感</x:v>
      </x:c>
      <x:c r="M10" s="18" t="str">
        <x:v>愉悦与氛围感 100.0%</x:v>
      </x:c>
      <x:c r="N10" s="18" t="str">
        <x:v>样本不足（待验证）</x:v>
      </x:c>
      <x:c r="O10" s="18" t="str">
        <x:v>补样本验证</x:v>
      </x:c>
    </x:row>
    <x:row r="11">
      <x:c r="A11" s="18" t="str">
        <x:v>休闲娱乐</x:v>
      </x:c>
      <x:c r="B11" s="18" t="str">
        <x:v>视觉触点</x:v>
      </x:c>
      <x:c r="C11" s="18" t="str">
        <x:v>照明与色调</x:v>
      </x:c>
      <x:c r="D11" s="26" t="n">
        <x:v>87</x:v>
      </x:c>
      <x:c r="E11" s="28" t="n">
        <x:f>D11/SUMIF($A$4:$A$55,A11,$D$4:$D$55)</x:f>
        <x:v>0.41232227488151657</x:v>
      </x:c>
      <x:c r="F11" s="26" t="n">
        <x:v>50</x:v>
      </x:c>
      <x:c r="G11" s="26" t="n">
        <x:v>34</x:v>
      </x:c>
      <x:c r="H11" s="26" t="n">
        <x:v>3</x:v>
      </x:c>
      <x:c r="I11" s="28" t="n">
        <x:f>F11/D11</x:f>
        <x:v>0.5747126436781609</x:v>
      </x:c>
      <x:c r="J11" s="28" t="n">
        <x:f>G11/D11</x:f>
        <x:v>0.39080459770114945</x:v>
      </x:c>
      <x:c r="K11" s="28" t="n">
        <x:f>H11/D11</x:f>
        <x:v>0.034482758620689655</x:v>
      </x:c>
      <x:c r="L11" s="18" t="str">
        <x:v>舒适感</x:v>
      </x:c>
      <x:c r="M11" s="18" t="str">
        <x:v>舒适感 64.4%；愉悦与氛围感 24.1%；便捷性 6.9%；无 3.4%；其他 1.1%</x:v>
      </x:c>
      <x:c r="N11" s="18" t="str">
        <x:v>魅力型（A）</x:v>
      </x:c>
      <x:c r="O11" s="18" t="str">
        <x:v>强化为卖点</x:v>
      </x:c>
    </x:row>
    <x:row r="12">
      <x:c r="A12" s="18" t="str">
        <x:v>休闲娱乐</x:v>
      </x:c>
      <x:c r="B12" s="18" t="str">
        <x:v>操作交互触点</x:v>
      </x:c>
      <x:c r="C12" s="18" t="str">
        <x:v>交互功能</x:v>
      </x:c>
      <x:c r="D12" s="26" t="n">
        <x:v>55</x:v>
      </x:c>
      <x:c r="E12" s="28" t="n">
        <x:f>D12/SUMIF($A$4:$A$55,A12,$D$4:$D$55)</x:f>
        <x:v>0.26066350710900477</x:v>
      </x:c>
      <x:c r="F12" s="26" t="n">
        <x:v>30</x:v>
      </x:c>
      <x:c r="G12" s="26" t="n">
        <x:v>25</x:v>
      </x:c>
      <x:c r="H12" s="26" t="n">
        <x:v>0</x:v>
      </x:c>
      <x:c r="I12" s="28" t="n">
        <x:f>F12/D12</x:f>
        <x:v>0.5454545454545454</x:v>
      </x:c>
      <x:c r="J12" s="28" t="n">
        <x:f>G12/D12</x:f>
        <x:v>0.45454545454545453</x:v>
      </x:c>
      <x:c r="K12" s="28" t="n">
        <x:f>H12/D12</x:f>
        <x:v>0</x:v>
      </x:c>
      <x:c r="L12" s="18" t="str">
        <x:v>便捷性</x:v>
      </x:c>
      <x:c r="M12" s="18" t="str">
        <x:v>便捷性 40.0%；愉悦与氛围感 29.1%；无 14.5%；舒适感 9.1%；其他 7.3%</x:v>
      </x:c>
      <x:c r="N12" s="18" t="str">
        <x:v>魅力型（A）</x:v>
      </x:c>
      <x:c r="O12" s="18" t="str">
        <x:v>强化为卖点</x:v>
      </x:c>
    </x:row>
    <x:row r="13">
      <x:c r="A13" s="18" t="str">
        <x:v>休闲娱乐</x:v>
      </x:c>
      <x:c r="B13" s="18" t="str">
        <x:v>视觉触点</x:v>
      </x:c>
      <x:c r="C13" s="18" t="str">
        <x:v>空间氛围</x:v>
      </x:c>
      <x:c r="D13" s="26" t="n">
        <x:v>40</x:v>
      </x:c>
      <x:c r="E13" s="28" t="n">
        <x:f>D13/SUMIF($A$4:$A$55,A13,$D$4:$D$55)</x:f>
        <x:v>0.1895734597156398</x:v>
      </x:c>
      <x:c r="F13" s="26" t="n">
        <x:v>18</x:v>
      </x:c>
      <x:c r="G13" s="26" t="n">
        <x:v>22</x:v>
      </x:c>
      <x:c r="H13" s="26" t="n">
        <x:v>0</x:v>
      </x:c>
      <x:c r="I13" s="28" t="n">
        <x:f>F13/D13</x:f>
        <x:v>0.45</x:v>
      </x:c>
      <x:c r="J13" s="28" t="n">
        <x:f>G13/D13</x:f>
        <x:v>0.55</x:v>
      </x:c>
      <x:c r="K13" s="28" t="n">
        <x:f>H13/D13</x:f>
        <x:v>0</x:v>
      </x:c>
      <x:c r="L13" s="18" t="str">
        <x:v>愉悦与氛围感</x:v>
      </x:c>
      <x:c r="M13" s="18" t="str">
        <x:v>愉悦与氛围感 80.0%；舒适感 10.0%；便捷性 5.0%；美观与价值感 2.5%；其他 2.5%</x:v>
      </x:c>
      <x:c r="N13" s="18" t="str">
        <x:v>魅力型（A）</x:v>
      </x:c>
      <x:c r="O13" s="18" t="str">
        <x:v>强化为卖点</x:v>
      </x:c>
    </x:row>
    <x:row r="14">
      <x:c r="A14" s="18" t="str">
        <x:v>休闲娱乐</x:v>
      </x:c>
      <x:c r="B14" s="18" t="str">
        <x:v>视觉触点</x:v>
      </x:c>
      <x:c r="C14" s="18" t="str">
        <x:v>视觉舒适</x:v>
      </x:c>
      <x:c r="D14" s="26" t="n">
        <x:v>11</x:v>
      </x:c>
      <x:c r="E14" s="28" t="n">
        <x:f>D14/SUMIF($A$4:$A$55,A14,$D$4:$D$55)</x:f>
        <x:v>0.052132701421800945</x:v>
      </x:c>
      <x:c r="F14" s="26" t="n">
        <x:v>4</x:v>
      </x:c>
      <x:c r="G14" s="26" t="n">
        <x:v>5</x:v>
      </x:c>
      <x:c r="H14" s="26" t="n">
        <x:v>2</x:v>
      </x:c>
      <x:c r="I14" s="28" t="n">
        <x:f>F14/D14</x:f>
        <x:v>0.36363636363636365</x:v>
      </x:c>
      <x:c r="J14" s="28" t="n">
        <x:f>G14/D14</x:f>
        <x:v>0.45454545454545453</x:v>
      </x:c>
      <x:c r="K14" s="28" t="n">
        <x:f>H14/D14</x:f>
        <x:v>0.18181818181818182</x:v>
      </x:c>
      <x:c r="L14" s="18" t="str">
        <x:v>舒适感</x:v>
      </x:c>
      <x:c r="M14" s="18" t="str">
        <x:v>舒适感 72.7%；愉悦与氛围感 18.2%；便捷性 9.1%</x:v>
      </x:c>
      <x:c r="N14" s="18" t="str">
        <x:v>期望型（O）</x:v>
      </x:c>
      <x:c r="O14" s="18" t="str">
        <x:v>重点优化</x:v>
      </x:c>
    </x:row>
    <x:row r="15">
      <x:c r="A15" s="18" t="str">
        <x:v>休闲娱乐</x:v>
      </x:c>
      <x:c r="B15" s="18" t="str">
        <x:v>视觉触点</x:v>
      </x:c>
      <x:c r="C15" s="18" t="str">
        <x:v>形体造型</x:v>
      </x:c>
      <x:c r="D15" s="26" t="n">
        <x:v>6</x:v>
      </x:c>
      <x:c r="E15" s="28" t="n">
        <x:f>D15/SUMIF($A$4:$A$55,A15,$D$4:$D$55)</x:f>
        <x:v>0.02843601895734597</x:v>
      </x:c>
      <x:c r="F15" s="26" t="n">
        <x:v>3</x:v>
      </x:c>
      <x:c r="G15" s="26" t="n">
        <x:v>3</x:v>
      </x:c>
      <x:c r="H15" s="26" t="n">
        <x:v>0</x:v>
      </x:c>
      <x:c r="I15" s="28" t="n">
        <x:f>F15/D15</x:f>
        <x:v>0.5</x:v>
      </x:c>
      <x:c r="J15" s="28" t="n">
        <x:f>G15/D15</x:f>
        <x:v>0.5</x:v>
      </x:c>
      <x:c r="K15" s="28" t="n">
        <x:f>H15/D15</x:f>
        <x:v>0</x:v>
      </x:c>
      <x:c r="L15" s="18" t="str">
        <x:v>美观与价值感</x:v>
      </x:c>
      <x:c r="M15" s="18" t="str">
        <x:v>美观与价值感 100.0%</x:v>
      </x:c>
      <x:c r="N15" s="18" t="str">
        <x:v>魅力型（A）</x:v>
      </x:c>
      <x:c r="O15" s="18" t="str">
        <x:v>适度强化</x:v>
      </x:c>
    </x:row>
    <x:row r="16">
      <x:c r="A16" s="18" t="str">
        <x:v>休闲娱乐</x:v>
      </x:c>
      <x:c r="B16" s="18" t="str">
        <x:v>视觉触点</x:v>
      </x:c>
      <x:c r="C16" s="18" t="str">
        <x:v>风格设计</x:v>
      </x:c>
      <x:c r="D16" s="26" t="n">
        <x:v>4</x:v>
      </x:c>
      <x:c r="E16" s="28" t="n">
        <x:f>D16/SUMIF($A$4:$A$55,A16,$D$4:$D$55)</x:f>
        <x:v>0.018957345971563982</x:v>
      </x:c>
      <x:c r="F16" s="26" t="n">
        <x:v>3</x:v>
      </x:c>
      <x:c r="G16" s="26" t="n">
        <x:v>1</x:v>
      </x:c>
      <x:c r="H16" s="26" t="n">
        <x:v>0</x:v>
      </x:c>
      <x:c r="I16" s="28" t="n">
        <x:f>F16/D16</x:f>
        <x:v>0.75</x:v>
      </x:c>
      <x:c r="J16" s="28" t="n">
        <x:f>G16/D16</x:f>
        <x:v>0.25</x:v>
      </x:c>
      <x:c r="K16" s="28" t="n">
        <x:f>H16/D16</x:f>
        <x:v>0</x:v>
      </x:c>
      <x:c r="L16" s="18" t="str">
        <x:v>愉悦与氛围感</x:v>
      </x:c>
      <x:c r="M16" s="18" t="str">
        <x:v>愉悦与氛围感 50.0%；便捷性 25.0%；美观与价值感 25.0%</x:v>
      </x:c>
      <x:c r="N16" s="18" t="str">
        <x:v>样本不足（待验证）</x:v>
      </x:c>
      <x:c r="O16" s="18" t="str">
        <x:v>补样本验证</x:v>
      </x:c>
    </x:row>
    <x:row r="17">
      <x:c r="A17" s="18" t="str">
        <x:v>休闲娱乐</x:v>
      </x:c>
      <x:c r="B17" s="18" t="str">
        <x:v>视觉触点</x:v>
      </x:c>
      <x:c r="C17" s="18" t="str">
        <x:v>色彩</x:v>
      </x:c>
      <x:c r="D17" s="26" t="n">
        <x:v>3</x:v>
      </x:c>
      <x:c r="E17" s="28" t="n">
        <x:f>D17/SUMIF($A$4:$A$55,A17,$D$4:$D$55)</x:f>
        <x:v>0.014218009478672985</x:v>
      </x:c>
      <x:c r="F17" s="26" t="n">
        <x:v>2</x:v>
      </x:c>
      <x:c r="G17" s="26" t="n">
        <x:v>1</x:v>
      </x:c>
      <x:c r="H17" s="26" t="n">
        <x:v>0</x:v>
      </x:c>
      <x:c r="I17" s="28" t="n">
        <x:f>F17/D17</x:f>
        <x:v>0.6666666666666666</x:v>
      </x:c>
      <x:c r="J17" s="28" t="n">
        <x:f>G17/D17</x:f>
        <x:v>0.3333333333333333</x:v>
      </x:c>
      <x:c r="K17" s="28" t="n">
        <x:f>H17/D17</x:f>
        <x:v>0</x:v>
      </x:c>
      <x:c r="L17" s="18" t="str">
        <x:v>美观与价值感</x:v>
      </x:c>
      <x:c r="M17" s="18" t="str">
        <x:v>美观与价值感 66.7%；愉悦与氛围感 33.3%</x:v>
      </x:c>
      <x:c r="N17" s="18" t="str">
        <x:v>样本不足（待验证）</x:v>
      </x:c>
      <x:c r="O17" s="18" t="str">
        <x:v>补样本验证</x:v>
      </x:c>
    </x:row>
    <x:row r="18">
      <x:c r="A18" s="18" t="str">
        <x:v>休闲娱乐</x:v>
      </x:c>
      <x:c r="B18" s="18" t="str">
        <x:v>触觉/近身质感触点</x:v>
      </x:c>
      <x:c r="C18" s="18" t="str">
        <x:v>材料质感</x:v>
      </x:c>
      <x:c r="D18" s="26" t="n">
        <x:v>3</x:v>
      </x:c>
      <x:c r="E18" s="28" t="n">
        <x:f>D18/SUMIF($A$4:$A$55,A18,$D$4:$D$55)</x:f>
        <x:v>0.014218009478672985</x:v>
      </x:c>
      <x:c r="F18" s="26" t="n">
        <x:v>1</x:v>
      </x:c>
      <x:c r="G18" s="26" t="n">
        <x:v>2</x:v>
      </x:c>
      <x:c r="H18" s="26" t="n">
        <x:v>0</x:v>
      </x:c>
      <x:c r="I18" s="28" t="n">
        <x:f>F18/D18</x:f>
        <x:v>0.3333333333333333</x:v>
      </x:c>
      <x:c r="J18" s="28" t="n">
        <x:f>G18/D18</x:f>
        <x:v>0.6666666666666666</x:v>
      </x:c>
      <x:c r="K18" s="28" t="n">
        <x:f>H18/D18</x:f>
        <x:v>0</x:v>
      </x:c>
      <x:c r="L18" s="18" t="str">
        <x:v>美观与价值感</x:v>
      </x:c>
      <x:c r="M18" s="18" t="str">
        <x:v>美观与价值感 100.0%</x:v>
      </x:c>
      <x:c r="N18" s="18" t="str">
        <x:v>样本不足（待验证）</x:v>
      </x:c>
      <x:c r="O18" s="18" t="str">
        <x:v>补样本验证</x:v>
      </x:c>
    </x:row>
    <x:row r="19">
      <x:c r="A19" s="18" t="str">
        <x:v>休闲娱乐</x:v>
      </x:c>
      <x:c r="B19" s="18" t="str">
        <x:v>触觉/近身质感触点</x:v>
      </x:c>
      <x:c r="C19" s="18" t="str">
        <x:v>做工细节</x:v>
      </x:c>
      <x:c r="D19" s="26" t="n">
        <x:v>2</x:v>
      </x:c>
      <x:c r="E19" s="28" t="n">
        <x:f>D19/SUMIF($A$4:$A$55,A19,$D$4:$D$55)</x:f>
        <x:v>0.009478672985781991</x:v>
      </x:c>
      <x:c r="F19" s="26" t="n">
        <x:v>1</x:v>
      </x:c>
      <x:c r="G19" s="26" t="n">
        <x:v>1</x:v>
      </x:c>
      <x:c r="H19" s="26" t="n">
        <x:v>0</x:v>
      </x:c>
      <x:c r="I19" s="28" t="n">
        <x:f>F19/D19</x:f>
        <x:v>0.5</x:v>
      </x:c>
      <x:c r="J19" s="28" t="n">
        <x:f>G19/D19</x:f>
        <x:v>0.5</x:v>
      </x:c>
      <x:c r="K19" s="28" t="n">
        <x:f>H19/D19</x:f>
        <x:v>0</x:v>
      </x:c>
      <x:c r="L19" s="18" t="str">
        <x:v>便捷性</x:v>
      </x:c>
      <x:c r="M19" s="18" t="str">
        <x:v>便捷性 50.0%；美观与价值感 50.0%</x:v>
      </x:c>
      <x:c r="N19" s="18" t="str">
        <x:v>样本不足（待验证）</x:v>
      </x:c>
      <x:c r="O19" s="18" t="str">
        <x:v>补样本验证</x:v>
      </x:c>
    </x:row>
    <x:row r="20">
      <x:c r="A20" s="18" t="str">
        <x:v>学习工作</x:v>
      </x:c>
      <x:c r="B20" s="18" t="str">
        <x:v>视觉触点</x:v>
      </x:c>
      <x:c r="C20" s="18" t="str">
        <x:v>照明与色调</x:v>
      </x:c>
      <x:c r="D20" s="26" t="n">
        <x:v>156</x:v>
      </x:c>
      <x:c r="E20" s="28" t="n">
        <x:f>D20/SUMIF($A$4:$A$55,A20,$D$4:$D$55)</x:f>
        <x:v>0.5</x:v>
      </x:c>
      <x:c r="F20" s="26" t="n">
        <x:v>80</x:v>
      </x:c>
      <x:c r="G20" s="26" t="n">
        <x:v>67</x:v>
      </x:c>
      <x:c r="H20" s="26" t="n">
        <x:v>9</x:v>
      </x:c>
      <x:c r="I20" s="28" t="n">
        <x:f>F20/D20</x:f>
        <x:v>0.5128205128205128</x:v>
      </x:c>
      <x:c r="J20" s="28" t="n">
        <x:f>G20/D20</x:f>
        <x:v>0.42948717948717946</x:v>
      </x:c>
      <x:c r="K20" s="28" t="n">
        <x:f>H20/D20</x:f>
        <x:v>0.057692307692307696</x:v>
      </x:c>
      <x:c r="L20" s="18" t="str">
        <x:v>舒适感</x:v>
      </x:c>
      <x:c r="M20" s="18" t="str">
        <x:v>舒适感 55.8%；专注 28.8%；便捷性 7.7%；愉悦与氛围感 3.8%；其他 3.8%</x:v>
      </x:c>
      <x:c r="N20" s="18" t="str">
        <x:v>期望型（O）</x:v>
      </x:c>
      <x:c r="O20" s="18" t="str">
        <x:v>重点优化</x:v>
      </x:c>
    </x:row>
    <x:row r="21">
      <x:c r="A21" s="18" t="str">
        <x:v>学习工作</x:v>
      </x:c>
      <x:c r="B21" s="18" t="str">
        <x:v>视觉触点</x:v>
      </x:c>
      <x:c r="C21" s="18" t="str">
        <x:v>视觉舒适</x:v>
      </x:c>
      <x:c r="D21" s="26" t="n">
        <x:v>59</x:v>
      </x:c>
      <x:c r="E21" s="28" t="n">
        <x:f>D21/SUMIF($A$4:$A$55,A21,$D$4:$D$55)</x:f>
        <x:v>0.1891025641025641</x:v>
      </x:c>
      <x:c r="F21" s="26" t="n">
        <x:v>21</x:v>
      </x:c>
      <x:c r="G21" s="26" t="n">
        <x:v>35</x:v>
      </x:c>
      <x:c r="H21" s="26" t="n">
        <x:v>3</x:v>
      </x:c>
      <x:c r="I21" s="28" t="n">
        <x:f>F21/D21</x:f>
        <x:v>0.3559322033898305</x:v>
      </x:c>
      <x:c r="J21" s="28" t="n">
        <x:f>G21/D21</x:f>
        <x:v>0.5932203389830508</x:v>
      </x:c>
      <x:c r="K21" s="28" t="n">
        <x:f>H21/D21</x:f>
        <x:v>0.05084745762711865</x:v>
      </x:c>
      <x:c r="L21" s="18" t="str">
        <x:v>舒适感</x:v>
      </x:c>
      <x:c r="M21" s="18" t="str">
        <x:v>舒适感 67.8%；专注 11.9%；美观与价值感 10.2%；便捷性 5.1%；其他 5.1%</x:v>
      </x:c>
      <x:c r="N21" s="18" t="str">
        <x:v>期望型（O）</x:v>
      </x:c>
      <x:c r="O21" s="18" t="str">
        <x:v>重点优化</x:v>
      </x:c>
    </x:row>
    <x:row r="22">
      <x:c r="A22" s="18" t="str">
        <x:v>学习工作</x:v>
      </x:c>
      <x:c r="B22" s="18" t="str">
        <x:v>操作交互触点</x:v>
      </x:c>
      <x:c r="C22" s="18" t="str">
        <x:v>交互功能</x:v>
      </x:c>
      <x:c r="D22" s="26" t="n">
        <x:v>47</x:v>
      </x:c>
      <x:c r="E22" s="28" t="n">
        <x:f>D22/SUMIF($A$4:$A$55,A22,$D$4:$D$55)</x:f>
        <x:v>0.15064102564102563</x:v>
      </x:c>
      <x:c r="F22" s="26" t="n">
        <x:v>21</x:v>
      </x:c>
      <x:c r="G22" s="26" t="n">
        <x:v>26</x:v>
      </x:c>
      <x:c r="H22" s="26" t="n">
        <x:v>0</x:v>
      </x:c>
      <x:c r="I22" s="28" t="n">
        <x:f>F22/D22</x:f>
        <x:v>0.44680851063829785</x:v>
      </x:c>
      <x:c r="J22" s="28" t="n">
        <x:f>G22/D22</x:f>
        <x:v>0.5531914893617021</x:v>
      </x:c>
      <x:c r="K22" s="28" t="n">
        <x:f>H22/D22</x:f>
        <x:v>0</x:v>
      </x:c>
      <x:c r="L22" s="18" t="str">
        <x:v>便捷性</x:v>
      </x:c>
      <x:c r="M22" s="18" t="str">
        <x:v>便捷性 48.9%；无 17.0%；专注 14.9%；愉悦与氛围感 12.8%；其他 6.4%</x:v>
      </x:c>
      <x:c r="N22" s="18" t="str">
        <x:v>魅力型（A）</x:v>
      </x:c>
      <x:c r="O22" s="18" t="str">
        <x:v>强化为卖点</x:v>
      </x:c>
    </x:row>
    <x:row r="23">
      <x:c r="A23" s="18" t="str">
        <x:v>学习工作</x:v>
      </x:c>
      <x:c r="B23" s="18" t="str">
        <x:v>视觉触点</x:v>
      </x:c>
      <x:c r="C23" s="18" t="str">
        <x:v>色彩</x:v>
      </x:c>
      <x:c r="D23" s="26" t="n">
        <x:v>15</x:v>
      </x:c>
      <x:c r="E23" s="28" t="n">
        <x:f>D23/SUMIF($A$4:$A$55,A23,$D$4:$D$55)</x:f>
        <x:v>0.04807692307692308</x:v>
      </x:c>
      <x:c r="F23" s="26" t="n">
        <x:v>7</x:v>
      </x:c>
      <x:c r="G23" s="26" t="n">
        <x:v>8</x:v>
      </x:c>
      <x:c r="H23" s="26" t="n">
        <x:v>0</x:v>
      </x:c>
      <x:c r="I23" s="28" t="n">
        <x:f>F23/D23</x:f>
        <x:v>0.4666666666666667</x:v>
      </x:c>
      <x:c r="J23" s="28" t="n">
        <x:f>G23/D23</x:f>
        <x:v>0.5333333333333333</x:v>
      </x:c>
      <x:c r="K23" s="28" t="n">
        <x:f>H23/D23</x:f>
        <x:v>0</x:v>
      </x:c>
      <x:c r="L23" s="18" t="str">
        <x:v>美观与价值感</x:v>
      </x:c>
      <x:c r="M23" s="18" t="str">
        <x:v>美观与价值感 66.7%；专注 20.0%；便捷性 6.7%；舒适感 6.7%</x:v>
      </x:c>
      <x:c r="N23" s="18" t="str">
        <x:v>魅力型（A）</x:v>
      </x:c>
      <x:c r="O23" s="18" t="str">
        <x:v>适度强化</x:v>
      </x:c>
    </x:row>
    <x:row r="24">
      <x:c r="A24" s="18" t="str">
        <x:v>学习工作</x:v>
      </x:c>
      <x:c r="B24" s="18" t="str">
        <x:v>视觉触点</x:v>
      </x:c>
      <x:c r="C24" s="18" t="str">
        <x:v>空间氛围</x:v>
      </x:c>
      <x:c r="D24" s="26" t="n">
        <x:v>14</x:v>
      </x:c>
      <x:c r="E24" s="28" t="n">
        <x:f>D24/SUMIF($A$4:$A$55,A24,$D$4:$D$55)</x:f>
        <x:v>0.04487179487179487</x:v>
      </x:c>
      <x:c r="F24" s="26" t="n">
        <x:v>9</x:v>
      </x:c>
      <x:c r="G24" s="26" t="n">
        <x:v>5</x:v>
      </x:c>
      <x:c r="H24" s="26" t="n">
        <x:v>0</x:v>
      </x:c>
      <x:c r="I24" s="28" t="n">
        <x:f>F24/D24</x:f>
        <x:v>0.6428571428571429</x:v>
      </x:c>
      <x:c r="J24" s="28" t="n">
        <x:f>G24/D24</x:f>
        <x:v>0.35714285714285715</x:v>
      </x:c>
      <x:c r="K24" s="28" t="n">
        <x:f>H24/D24</x:f>
        <x:v>0</x:v>
      </x:c>
      <x:c r="L24" s="18" t="str">
        <x:v>愉悦与氛围感</x:v>
      </x:c>
      <x:c r="M24" s="18" t="str">
        <x:v>愉悦与氛围感 42.9%；专注 28.6%；美观与价值感 14.3%；便捷性 7.1%；其他 7.1%</x:v>
      </x:c>
      <x:c r="N24" s="18" t="str">
        <x:v>魅力型（A）</x:v>
      </x:c>
      <x:c r="O24" s="18" t="str">
        <x:v>强化为卖点</x:v>
      </x:c>
    </x:row>
    <x:row r="25">
      <x:c r="A25" s="18" t="str">
        <x:v>学习工作</x:v>
      </x:c>
      <x:c r="B25" s="18" t="str">
        <x:v>视觉触点</x:v>
      </x:c>
      <x:c r="C25" s="18" t="str">
        <x:v>风格设计</x:v>
      </x:c>
      <x:c r="D25" s="26" t="n">
        <x:v>8</x:v>
      </x:c>
      <x:c r="E25" s="28" t="n">
        <x:f>D25/SUMIF($A$4:$A$55,A25,$D$4:$D$55)</x:f>
        <x:v>0.02564102564102564</x:v>
      </x:c>
      <x:c r="F25" s="26" t="n">
        <x:v>4</x:v>
      </x:c>
      <x:c r="G25" s="26" t="n">
        <x:v>3</x:v>
      </x:c>
      <x:c r="H25" s="26" t="n">
        <x:v>1</x:v>
      </x:c>
      <x:c r="I25" s="28" t="n">
        <x:f>F25/D25</x:f>
        <x:v>0.5</x:v>
      </x:c>
      <x:c r="J25" s="28" t="n">
        <x:f>G25/D25</x:f>
        <x:v>0.375</x:v>
      </x:c>
      <x:c r="K25" s="28" t="n">
        <x:f>H25/D25</x:f>
        <x:v>0.125</x:v>
      </x:c>
      <x:c r="L25" s="18" t="str">
        <x:v>美观与价值感</x:v>
      </x:c>
      <x:c r="M25" s="18" t="str">
        <x:v>美观与价值感 100.0%</x:v>
      </x:c>
      <x:c r="N25" s="18" t="str">
        <x:v>期望型（O）</x:v>
      </x:c>
      <x:c r="O25" s="18" t="str">
        <x:v>重点优化</x:v>
      </x:c>
    </x:row>
    <x:row r="26">
      <x:c r="A26" s="18" t="str">
        <x:v>学习工作</x:v>
      </x:c>
      <x:c r="B26" s="18" t="str">
        <x:v>视觉触点</x:v>
      </x:c>
      <x:c r="C26" s="18" t="str">
        <x:v>形体造型</x:v>
      </x:c>
      <x:c r="D26" s="26" t="n">
        <x:v>8</x:v>
      </x:c>
      <x:c r="E26" s="28" t="n">
        <x:f>D26/SUMIF($A$4:$A$55,A26,$D$4:$D$55)</x:f>
        <x:v>0.02564102564102564</x:v>
      </x:c>
      <x:c r="F26" s="26" t="n">
        <x:v>6</x:v>
      </x:c>
      <x:c r="G26" s="26" t="n">
        <x:v>2</x:v>
      </x:c>
      <x:c r="H26" s="26" t="n">
        <x:v>0</x:v>
      </x:c>
      <x:c r="I26" s="28" t="n">
        <x:f>F26/D26</x:f>
        <x:v>0.75</x:v>
      </x:c>
      <x:c r="J26" s="28" t="n">
        <x:f>G26/D26</x:f>
        <x:v>0.25</x:v>
      </x:c>
      <x:c r="K26" s="28" t="n">
        <x:f>H26/D26</x:f>
        <x:v>0</x:v>
      </x:c>
      <x:c r="L26" s="18" t="str">
        <x:v>美观与价值感</x:v>
      </x:c>
      <x:c r="M26" s="18" t="str">
        <x:v>美观与价值感 62.5%；便捷性 12.5%；专注 12.5%；愉悦与氛围感 12.5%</x:v>
      </x:c>
      <x:c r="N26" s="18" t="str">
        <x:v>魅力型（A）</x:v>
      </x:c>
      <x:c r="O26" s="18" t="str">
        <x:v>强化为卖点</x:v>
      </x:c>
    </x:row>
    <x:row r="27">
      <x:c r="A27" s="18" t="str">
        <x:v>学习工作</x:v>
      </x:c>
      <x:c r="B27" s="18" t="str">
        <x:v>触觉/近身质感触点</x:v>
      </x:c>
      <x:c r="C27" s="18" t="str">
        <x:v>做工细节</x:v>
      </x:c>
      <x:c r="D27" s="26" t="n">
        <x:v>3</x:v>
      </x:c>
      <x:c r="E27" s="28" t="n">
        <x:f>D27/SUMIF($A$4:$A$55,A27,$D$4:$D$55)</x:f>
        <x:v>0.009615384615384616</x:v>
      </x:c>
      <x:c r="F27" s="26" t="n">
        <x:v>2</x:v>
      </x:c>
      <x:c r="G27" s="26" t="n">
        <x:v>1</x:v>
      </x:c>
      <x:c r="H27" s="26" t="n">
        <x:v>0</x:v>
      </x:c>
      <x:c r="I27" s="28" t="n">
        <x:f>F27/D27</x:f>
        <x:v>0.6666666666666666</x:v>
      </x:c>
      <x:c r="J27" s="28" t="n">
        <x:f>G27/D27</x:f>
        <x:v>0.3333333333333333</x:v>
      </x:c>
      <x:c r="K27" s="28" t="n">
        <x:f>H27/D27</x:f>
        <x:v>0</x:v>
      </x:c>
      <x:c r="L27" s="18" t="str">
        <x:v>美观与价值感</x:v>
      </x:c>
      <x:c r="M27" s="18" t="str">
        <x:v>美观与价值感 66.7%；舒适感 33.3%</x:v>
      </x:c>
      <x:c r="N27" s="18" t="str">
        <x:v>样本不足（待验证）</x:v>
      </x:c>
      <x:c r="O27" s="18" t="str">
        <x:v>补样本验证</x:v>
      </x:c>
    </x:row>
    <x:row r="28">
      <x:c r="A28" s="18" t="str">
        <x:v>学习工作</x:v>
      </x:c>
      <x:c r="B28" s="18" t="str">
        <x:v>触觉/近身质感触点</x:v>
      </x:c>
      <x:c r="C28" s="18" t="str">
        <x:v>材料质感</x:v>
      </x:c>
      <x:c r="D28" s="26" t="n">
        <x:v>2</x:v>
      </x:c>
      <x:c r="E28" s="28" t="n">
        <x:f>D28/SUMIF($A$4:$A$55,A28,$D$4:$D$55)</x:f>
        <x:v>0.00641025641025641</x:v>
      </x:c>
      <x:c r="F28" s="26" t="n">
        <x:v>1</x:v>
      </x:c>
      <x:c r="G28" s="26" t="n">
        <x:v>1</x:v>
      </x:c>
      <x:c r="H28" s="26" t="n">
        <x:v>0</x:v>
      </x:c>
      <x:c r="I28" s="28" t="n">
        <x:f>F28/D28</x:f>
        <x:v>0.5</x:v>
      </x:c>
      <x:c r="J28" s="28" t="n">
        <x:f>G28/D28</x:f>
        <x:v>0.5</x:v>
      </x:c>
      <x:c r="K28" s="28" t="n">
        <x:f>H28/D28</x:f>
        <x:v>0</x:v>
      </x:c>
      <x:c r="L28" s="18" t="str">
        <x:v>美观与价值感</x:v>
      </x:c>
      <x:c r="M28" s="18" t="str">
        <x:v>美观与价值感 100.0%</x:v>
      </x:c>
      <x:c r="N28" s="18" t="str">
        <x:v>样本不足（待验证）</x:v>
      </x:c>
      <x:c r="O28" s="18" t="str">
        <x:v>补样本验证</x:v>
      </x:c>
    </x:row>
    <x:row r="29">
      <x:c r="A29" s="18" t="str">
        <x:v>日常基础照明</x:v>
      </x:c>
      <x:c r="B29" s="18" t="str">
        <x:v>视觉触点</x:v>
      </x:c>
      <x:c r="C29" s="18" t="str">
        <x:v>照明与色调</x:v>
      </x:c>
      <x:c r="D29" s="26" t="n">
        <x:v>437</x:v>
      </x:c>
      <x:c r="E29" s="28" t="n">
        <x:f>D29/SUMIF($A$4:$A$55,A29,$D$4:$D$55)</x:f>
        <x:v>0.39981701738334857</x:v>
      </x:c>
      <x:c r="F29" s="26" t="n">
        <x:v>218</x:v>
      </x:c>
      <x:c r="G29" s="26" t="n">
        <x:v>194</x:v>
      </x:c>
      <x:c r="H29" s="26" t="n">
        <x:v>25</x:v>
      </x:c>
      <x:c r="I29" s="28" t="n">
        <x:f>F29/D29</x:f>
        <x:v>0.4988558352402746</x:v>
      </x:c>
      <x:c r="J29" s="28" t="n">
        <x:f>G29/D29</x:f>
        <x:v>0.4439359267734554</x:v>
      </x:c>
      <x:c r="K29" s="28" t="n">
        <x:f>H29/D29</x:f>
        <x:v>0.057208237986270026</x:v>
      </x:c>
      <x:c r="L29" s="18" t="str">
        <x:v>舒适感</x:v>
      </x:c>
      <x:c r="M29" s="18" t="str">
        <x:v>舒适感 67.0%；愉悦与氛围感 10.5%；美观与价值感 10.5%；便捷性 8.9%；其他 3.0%</x:v>
      </x:c>
      <x:c r="N29" s="18" t="str">
        <x:v>期望型（O）</x:v>
      </x:c>
      <x:c r="O29" s="18" t="str">
        <x:v>重点优化</x:v>
      </x:c>
    </x:row>
    <x:row r="30">
      <x:c r="A30" s="18" t="str">
        <x:v>日常基础照明</x:v>
      </x:c>
      <x:c r="B30" s="18" t="str">
        <x:v>操作交互触点</x:v>
      </x:c>
      <x:c r="C30" s="18" t="str">
        <x:v>交互功能</x:v>
      </x:c>
      <x:c r="D30" s="26" t="n">
        <x:v>134</x:v>
      </x:c>
      <x:c r="E30" s="28" t="n">
        <x:f>D30/SUMIF($A$4:$A$55,A30,$D$4:$D$55)</x:f>
        <x:v>0.12259835315645014</x:v>
      </x:c>
      <x:c r="F30" s="26" t="n">
        <x:v>44</x:v>
      </x:c>
      <x:c r="G30" s="26" t="n">
        <x:v>87</x:v>
      </x:c>
      <x:c r="H30" s="26" t="n">
        <x:v>3</x:v>
      </x:c>
      <x:c r="I30" s="28" t="n">
        <x:f>F30/D30</x:f>
        <x:v>0.3283582089552239</x:v>
      </x:c>
      <x:c r="J30" s="28" t="n">
        <x:f>G30/D30</x:f>
        <x:v>0.6492537313432836</x:v>
      </x:c>
      <x:c r="K30" s="28" t="n">
        <x:f>H30/D30</x:f>
        <x:v>0.022388059701492536</x:v>
      </x:c>
      <x:c r="L30" s="18" t="str">
        <x:v>便捷性</x:v>
      </x:c>
      <x:c r="M30" s="18" t="str">
        <x:v>便捷性 68.7%；舒适感 11.2%；美观与价值感 8.2%；愉悦与氛围感 7.5%；其他 4.5%</x:v>
      </x:c>
      <x:c r="N30" s="18" t="str">
        <x:v>无差异型（I）</x:v>
      </x:c>
      <x:c r="O30" s="18" t="str">
        <x:v>低优先级观察</x:v>
      </x:c>
    </x:row>
    <x:row r="31">
      <x:c r="A31" s="18" t="str">
        <x:v>日常基础照明</x:v>
      </x:c>
      <x:c r="B31" s="18" t="str">
        <x:v>视觉触点</x:v>
      </x:c>
      <x:c r="C31" s="18" t="str">
        <x:v>风格设计</x:v>
      </x:c>
      <x:c r="D31" s="26" t="n">
        <x:v>119</x:v>
      </x:c>
      <x:c r="E31" s="28" t="n">
        <x:f>D31/SUMIF($A$4:$A$55,A31,$D$4:$D$55)</x:f>
        <x:v>0.10887465690759378</x:v>
      </x:c>
      <x:c r="F31" s="26" t="n">
        <x:v>67</x:v>
      </x:c>
      <x:c r="G31" s="26" t="n">
        <x:v>50</x:v>
      </x:c>
      <x:c r="H31" s="26" t="n">
        <x:v>2</x:v>
      </x:c>
      <x:c r="I31" s="28" t="n">
        <x:f>F31/D31</x:f>
        <x:v>0.5630252100840336</x:v>
      </x:c>
      <x:c r="J31" s="28" t="n">
        <x:f>G31/D31</x:f>
        <x:v>0.42016806722689076</x:v>
      </x:c>
      <x:c r="K31" s="28" t="n">
        <x:f>H31/D31</x:f>
        <x:v>0.01680672268907563</x:v>
      </x:c>
      <x:c r="L31" s="18" t="str">
        <x:v>美观与价值感</x:v>
      </x:c>
      <x:c r="M31" s="18" t="str">
        <x:v>美观与价值感 79.0%；便捷性 12.6%；愉悦与氛围感 5.0%；舒适感 2.5%；其他 0.8%</x:v>
      </x:c>
      <x:c r="N31" s="18" t="str">
        <x:v>魅力型（A）</x:v>
      </x:c>
      <x:c r="O31" s="18" t="str">
        <x:v>强化为卖点</x:v>
      </x:c>
    </x:row>
    <x:row r="32">
      <x:c r="A32" s="18" t="str">
        <x:v>日常基础照明</x:v>
      </x:c>
      <x:c r="B32" s="18" t="str">
        <x:v>视觉触点</x:v>
      </x:c>
      <x:c r="C32" s="18" t="str">
        <x:v>形体造型</x:v>
      </x:c>
      <x:c r="D32" s="26" t="n">
        <x:v>107</x:v>
      </x:c>
      <x:c r="E32" s="28" t="n">
        <x:f>D32/SUMIF($A$4:$A$55,A32,$D$4:$D$55)</x:f>
        <x:v>0.09789569990850869</x:v>
      </x:c>
      <x:c r="F32" s="26" t="n">
        <x:v>44</x:v>
      </x:c>
      <x:c r="G32" s="26" t="n">
        <x:v>51</x:v>
      </x:c>
      <x:c r="H32" s="26" t="n">
        <x:v>12</x:v>
      </x:c>
      <x:c r="I32" s="28" t="n">
        <x:f>F32/D32</x:f>
        <x:v>0.411214953271028</x:v>
      </x:c>
      <x:c r="J32" s="28" t="n">
        <x:f>G32/D32</x:f>
        <x:v>0.4766355140186916</x:v>
      </x:c>
      <x:c r="K32" s="28" t="n">
        <x:f>H32/D32</x:f>
        <x:v>0.11214953271028037</x:v>
      </x:c>
      <x:c r="L32" s="18" t="str">
        <x:v>美观与价值感</x:v>
      </x:c>
      <x:c r="M32" s="18" t="str">
        <x:v>美观与价值感 80.4%；舒适感 10.3%；便捷性 4.7%；安全感 2.8%；其他 1.9%</x:v>
      </x:c>
      <x:c r="N32" s="18" t="str">
        <x:v>期望型（O）</x:v>
      </x:c>
      <x:c r="O32" s="18" t="str">
        <x:v>重点优化</x:v>
      </x:c>
    </x:row>
    <x:row r="33">
      <x:c r="A33" s="18" t="str">
        <x:v>日常基础照明</x:v>
      </x:c>
      <x:c r="B33" s="18" t="str">
        <x:v>视觉触点</x:v>
      </x:c>
      <x:c r="C33" s="18" t="str">
        <x:v>视觉舒适</x:v>
      </x:c>
      <x:c r="D33" s="26" t="n">
        <x:v>107</x:v>
      </x:c>
      <x:c r="E33" s="28" t="n">
        <x:f>D33/SUMIF($A$4:$A$55,A33,$D$4:$D$55)</x:f>
        <x:v>0.09789569990850869</x:v>
      </x:c>
      <x:c r="F33" s="26" t="n">
        <x:v>59</x:v>
      </x:c>
      <x:c r="G33" s="26" t="n">
        <x:v>38</x:v>
      </x:c>
      <x:c r="H33" s="26" t="n">
        <x:v>10</x:v>
      </x:c>
      <x:c r="I33" s="28" t="n">
        <x:f>F33/D33</x:f>
        <x:v>0.5514018691588785</x:v>
      </x:c>
      <x:c r="J33" s="28" t="n">
        <x:f>G33/D33</x:f>
        <x:v>0.35514018691588783</x:v>
      </x:c>
      <x:c r="K33" s="28" t="n">
        <x:f>H33/D33</x:f>
        <x:v>0.09345794392523364</x:v>
      </x:c>
      <x:c r="L33" s="18" t="str">
        <x:v>舒适感</x:v>
      </x:c>
      <x:c r="M33" s="18" t="str">
        <x:v>舒适感 65.4%；美观与价值感 19.6%；愉悦与氛围感 8.4%；便捷性 2.8%；其他 3.7%</x:v>
      </x:c>
      <x:c r="N33" s="18" t="str">
        <x:v>期望型（O）</x:v>
      </x:c>
      <x:c r="O33" s="18" t="str">
        <x:v>重点优化</x:v>
      </x:c>
    </x:row>
    <x:row r="34">
      <x:c r="A34" s="18" t="str">
        <x:v>日常基础照明</x:v>
      </x:c>
      <x:c r="B34" s="18" t="str">
        <x:v>触觉/近身质感触点</x:v>
      </x:c>
      <x:c r="C34" s="18" t="str">
        <x:v>做工细节</x:v>
      </x:c>
      <x:c r="D34" s="26" t="n">
        <x:v>54</x:v>
      </x:c>
      <x:c r="E34" s="28" t="n">
        <x:f>D34/SUMIF($A$4:$A$55,A34,$D$4:$D$55)</x:f>
        <x:v>0.04940530649588289</x:v>
      </x:c>
      <x:c r="F34" s="26" t="n">
        <x:v>21</x:v>
      </x:c>
      <x:c r="G34" s="26" t="n">
        <x:v>31</x:v>
      </x:c>
      <x:c r="H34" s="26" t="n">
        <x:v>2</x:v>
      </x:c>
      <x:c r="I34" s="28" t="n">
        <x:f>F34/D34</x:f>
        <x:v>0.3888888888888889</x:v>
      </x:c>
      <x:c r="J34" s="28" t="n">
        <x:f>G34/D34</x:f>
        <x:v>0.5740740740740741</x:v>
      </x:c>
      <x:c r="K34" s="28" t="n">
        <x:f>H34/D34</x:f>
        <x:v>0.037037037037037035</x:v>
      </x:c>
      <x:c r="L34" s="18" t="str">
        <x:v>美观与价值感</x:v>
      </x:c>
      <x:c r="M34" s="18" t="str">
        <x:v>美观与价值感 53.7%；便捷性 33.3%；舒适感 7.4%；安全感 5.6%</x:v>
      </x:c>
      <x:c r="N34" s="18" t="str">
        <x:v>魅力型（A）</x:v>
      </x:c>
      <x:c r="O34" s="18" t="str">
        <x:v>适度强化</x:v>
      </x:c>
    </x:row>
    <x:row r="35">
      <x:c r="A35" s="18" t="str">
        <x:v>日常基础照明</x:v>
      </x:c>
      <x:c r="B35" s="18" t="str">
        <x:v>视觉触点</x:v>
      </x:c>
      <x:c r="C35" s="18" t="str">
        <x:v>空间氛围</x:v>
      </x:c>
      <x:c r="D35" s="26" t="n">
        <x:v>52</x:v>
      </x:c>
      <x:c r="E35" s="28" t="n">
        <x:f>D35/SUMIF($A$4:$A$55,A35,$D$4:$D$55)</x:f>
        <x:v>0.04757548032936871</x:v>
      </x:c>
      <x:c r="F35" s="26" t="n">
        <x:v>30</x:v>
      </x:c>
      <x:c r="G35" s="26" t="n">
        <x:v>19</x:v>
      </x:c>
      <x:c r="H35" s="26" t="n">
        <x:v>3</x:v>
      </x:c>
      <x:c r="I35" s="28" t="n">
        <x:f>F35/D35</x:f>
        <x:v>0.5769230769230769</x:v>
      </x:c>
      <x:c r="J35" s="28" t="n">
        <x:f>G35/D35</x:f>
        <x:v>0.36538461538461536</x:v>
      </x:c>
      <x:c r="K35" s="28" t="n">
        <x:f>H35/D35</x:f>
        <x:v>0.057692307692307696</x:v>
      </x:c>
      <x:c r="L35" s="18" t="str">
        <x:v>愉悦与氛围感</x:v>
      </x:c>
      <x:c r="M35" s="18" t="str">
        <x:v>愉悦与氛围感 51.9%；美观与价值感 21.2%；舒适感 21.2%；安全感 1.9%；其他 3.8%</x:v>
      </x:c>
      <x:c r="N35" s="18" t="str">
        <x:v>魅力型（A）</x:v>
      </x:c>
      <x:c r="O35" s="18" t="str">
        <x:v>强化为卖点</x:v>
      </x:c>
    </x:row>
    <x:row r="36">
      <x:c r="A36" s="18" t="str">
        <x:v>日常基础照明</x:v>
      </x:c>
      <x:c r="B36" s="18" t="str">
        <x:v>触觉/近身质感触点</x:v>
      </x:c>
      <x:c r="C36" s="18" t="str">
        <x:v>材料质感</x:v>
      </x:c>
      <x:c r="D36" s="26" t="n">
        <x:v>45</x:v>
      </x:c>
      <x:c r="E36" s="28" t="n">
        <x:f>D36/SUMIF($A$4:$A$55,A36,$D$4:$D$55)</x:f>
        <x:v>0.04117108874656908</x:v>
      </x:c>
      <x:c r="F36" s="26" t="n">
        <x:v>14</x:v>
      </x:c>
      <x:c r="G36" s="26" t="n">
        <x:v>28</x:v>
      </x:c>
      <x:c r="H36" s="26" t="n">
        <x:v>3</x:v>
      </x:c>
      <x:c r="I36" s="28" t="n">
        <x:f>F36/D36</x:f>
        <x:v>0.3111111111111111</x:v>
      </x:c>
      <x:c r="J36" s="28" t="n">
        <x:f>G36/D36</x:f>
        <x:v>0.6222222222222222</x:v>
      </x:c>
      <x:c r="K36" s="28" t="n">
        <x:f>H36/D36</x:f>
        <x:v>0.06666666666666667</x:v>
      </x:c>
      <x:c r="L36" s="18" t="str">
        <x:v>美观与价值感</x:v>
      </x:c>
      <x:c r="M36" s="18" t="str">
        <x:v>美观与价值感 57.8%；舒适感 13.3%；便捷性 13.3%；安全感 11.1%；其他 4.4%</x:v>
      </x:c>
      <x:c r="N36" s="18" t="str">
        <x:v>期望型（O）</x:v>
      </x:c>
      <x:c r="O36" s="18" t="str">
        <x:v>持续优化</x:v>
      </x:c>
    </x:row>
    <x:row r="37">
      <x:c r="A37" s="18" t="str">
        <x:v>日常基础照明</x:v>
      </x:c>
      <x:c r="B37" s="18" t="str">
        <x:v>视觉触点</x:v>
      </x:c>
      <x:c r="C37" s="18" t="str">
        <x:v>色彩</x:v>
      </x:c>
      <x:c r="D37" s="26" t="n">
        <x:v>38</x:v>
      </x:c>
      <x:c r="E37" s="28" t="n">
        <x:f>D37/SUMIF($A$4:$A$55,A37,$D$4:$D$55)</x:f>
        <x:v>0.03476669716376944</x:v>
      </x:c>
      <x:c r="F37" s="26" t="n">
        <x:v>14</x:v>
      </x:c>
      <x:c r="G37" s="26" t="n">
        <x:v>23</x:v>
      </x:c>
      <x:c r="H37" s="26" t="n">
        <x:v>1</x:v>
      </x:c>
      <x:c r="I37" s="28" t="n">
        <x:f>F37/D37</x:f>
        <x:v>0.3684210526315789</x:v>
      </x:c>
      <x:c r="J37" s="28" t="n">
        <x:f>G37/D37</x:f>
        <x:v>0.6052631578947368</x:v>
      </x:c>
      <x:c r="K37" s="28" t="n">
        <x:f>H37/D37</x:f>
        <x:v>0.02631578947368421</x:v>
      </x:c>
      <x:c r="L37" s="18" t="str">
        <x:v>美观与价值感</x:v>
      </x:c>
      <x:c r="M37" s="18" t="str">
        <x:v>美观与价值感 81.6%；舒适感 10.5%；便捷性 5.3%；无 2.6%</x:v>
      </x:c>
      <x:c r="N37" s="18" t="str">
        <x:v>魅力型（A）</x:v>
      </x:c>
      <x:c r="O37" s="18" t="str">
        <x:v>适度强化</x:v>
      </x:c>
    </x:row>
    <x:row r="38">
      <x:c r="A38" s="18" t="str">
        <x:v>智能托管</x:v>
      </x:c>
      <x:c r="B38" s="18" t="str">
        <x:v>操作交互触点</x:v>
      </x:c>
      <x:c r="C38" s="18" t="str">
        <x:v>交互功能</x:v>
      </x:c>
      <x:c r="D38" s="26" t="n">
        <x:v>159</x:v>
      </x:c>
      <x:c r="E38" s="28" t="n">
        <x:f>D38/SUMIF($A$4:$A$55,A38,$D$4:$D$55)</x:f>
        <x:v>0.5618374558303887</x:v>
      </x:c>
      <x:c r="F38" s="26" t="n">
        <x:v>83</x:v>
      </x:c>
      <x:c r="G38" s="26" t="n">
        <x:v>74</x:v>
      </x:c>
      <x:c r="H38" s="26" t="n">
        <x:v>2</x:v>
      </x:c>
      <x:c r="I38" s="28" t="n">
        <x:f>F38/D38</x:f>
        <x:v>0.5220125786163522</x:v>
      </x:c>
      <x:c r="J38" s="28" t="n">
        <x:f>G38/D38</x:f>
        <x:v>0.46540880503144655</x:v>
      </x:c>
      <x:c r="K38" s="28" t="n">
        <x:f>H38/D38</x:f>
        <x:v>0.012578616352201259</x:v>
      </x:c>
      <x:c r="L38" s="18" t="str">
        <x:v>便捷性</x:v>
      </x:c>
      <x:c r="M38" s="18" t="str">
        <x:v>便捷性 77.4%；舒适感 8.2%；愉悦与氛围感 6.9%；美观与价值感 6.3%；其他 1.3%</x:v>
      </x:c>
      <x:c r="N38" s="18" t="str">
        <x:v>魅力型（A）</x:v>
      </x:c>
      <x:c r="O38" s="18" t="str">
        <x:v>强化为卖点</x:v>
      </x:c>
    </x:row>
    <x:row r="39">
      <x:c r="A39" s="18" t="str">
        <x:v>智能托管</x:v>
      </x:c>
      <x:c r="B39" s="18" t="str">
        <x:v>视觉触点</x:v>
      </x:c>
      <x:c r="C39" s="18" t="str">
        <x:v>照明与色调</x:v>
      </x:c>
      <x:c r="D39" s="26" t="n">
        <x:v>73</x:v>
      </x:c>
      <x:c r="E39" s="28" t="n">
        <x:f>D39/SUMIF($A$4:$A$55,A39,$D$4:$D$55)</x:f>
        <x:v>0.2579505300353357</x:v>
      </x:c>
      <x:c r="F39" s="26" t="n">
        <x:v>28</x:v>
      </x:c>
      <x:c r="G39" s="26" t="n">
        <x:v>42</x:v>
      </x:c>
      <x:c r="H39" s="26" t="n">
        <x:v>3</x:v>
      </x:c>
      <x:c r="I39" s="28" t="n">
        <x:f>F39/D39</x:f>
        <x:v>0.3835616438356164</x:v>
      </x:c>
      <x:c r="J39" s="28" t="n">
        <x:f>G39/D39</x:f>
        <x:v>0.5753424657534246</x:v>
      </x:c>
      <x:c r="K39" s="28" t="n">
        <x:f>H39/D39</x:f>
        <x:v>0.0410958904109589</x:v>
      </x:c>
      <x:c r="L39" s="18" t="str">
        <x:v>舒适感</x:v>
      </x:c>
      <x:c r="M39" s="18" t="str">
        <x:v>舒适感 58.9%；便捷性 16.4%；愉悦与氛围感 9.6%；美观与价值感 8.2%；其他 6.8%</x:v>
      </x:c>
      <x:c r="N39" s="18" t="str">
        <x:v>魅力型（A）</x:v>
      </x:c>
      <x:c r="O39" s="18" t="str">
        <x:v>强化为卖点</x:v>
      </x:c>
    </x:row>
    <x:row r="40">
      <x:c r="A40" s="18" t="str">
        <x:v>智能托管</x:v>
      </x:c>
      <x:c r="B40" s="18" t="str">
        <x:v>视觉触点</x:v>
      </x:c>
      <x:c r="C40" s="18" t="str">
        <x:v>色彩</x:v>
      </x:c>
      <x:c r="D40" s="26" t="n">
        <x:v>14</x:v>
      </x:c>
      <x:c r="E40" s="28" t="n">
        <x:f>D40/SUMIF($A$4:$A$55,A40,$D$4:$D$55)</x:f>
        <x:v>0.04946996466431095</x:v>
      </x:c>
      <x:c r="F40" s="26" t="n">
        <x:v>6</x:v>
      </x:c>
      <x:c r="G40" s="26" t="n">
        <x:v>8</x:v>
      </x:c>
      <x:c r="H40" s="26" t="n">
        <x:v>0</x:v>
      </x:c>
      <x:c r="I40" s="28" t="n">
        <x:f>F40/D40</x:f>
        <x:v>0.42857142857142855</x:v>
      </x:c>
      <x:c r="J40" s="28" t="n">
        <x:f>G40/D40</x:f>
        <x:v>0.5714285714285714</x:v>
      </x:c>
      <x:c r="K40" s="28" t="n">
        <x:f>H40/D40</x:f>
        <x:v>0</x:v>
      </x:c>
      <x:c r="L40" s="18" t="str">
        <x:v>美观与价值感</x:v>
      </x:c>
      <x:c r="M40" s="18" t="str">
        <x:v>美观与价值感 35.7%；便捷性 35.7%；愉悦与氛围感 14.3%；舒适感 7.1%；其他 7.1%</x:v>
      </x:c>
      <x:c r="N40" s="18" t="str">
        <x:v>魅力型（A）</x:v>
      </x:c>
      <x:c r="O40" s="18" t="str">
        <x:v>适度强化</x:v>
      </x:c>
    </x:row>
    <x:row r="41">
      <x:c r="A41" s="18" t="str">
        <x:v>智能托管</x:v>
      </x:c>
      <x:c r="B41" s="18" t="str">
        <x:v>视觉触点</x:v>
      </x:c>
      <x:c r="C41" s="18" t="str">
        <x:v>风格设计</x:v>
      </x:c>
      <x:c r="D41" s="26" t="n">
        <x:v>13</x:v>
      </x:c>
      <x:c r="E41" s="28" t="n">
        <x:f>D41/SUMIF($A$4:$A$55,A41,$D$4:$D$55)</x:f>
        <x:v>0.045936395759717315</x:v>
      </x:c>
      <x:c r="F41" s="26" t="n">
        <x:v>7</x:v>
      </x:c>
      <x:c r="G41" s="26" t="n">
        <x:v>6</x:v>
      </x:c>
      <x:c r="H41" s="26" t="n">
        <x:v>0</x:v>
      </x:c>
      <x:c r="I41" s="28" t="n">
        <x:f>F41/D41</x:f>
        <x:v>0.5384615384615384</x:v>
      </x:c>
      <x:c r="J41" s="28" t="n">
        <x:f>G41/D41</x:f>
        <x:v>0.46153846153846156</x:v>
      </x:c>
      <x:c r="K41" s="28" t="n">
        <x:f>H41/D41</x:f>
        <x:v>0</x:v>
      </x:c>
      <x:c r="L41" s="18" t="str">
        <x:v>美观与价值感</x:v>
      </x:c>
      <x:c r="M41" s="18" t="str">
        <x:v>美观与价值感 76.9%；便捷性 23.1%</x:v>
      </x:c>
      <x:c r="N41" s="18" t="str">
        <x:v>魅力型（A）</x:v>
      </x:c>
      <x:c r="O41" s="18" t="str">
        <x:v>适度强化</x:v>
      </x:c>
    </x:row>
    <x:row r="42">
      <x:c r="A42" s="18" t="str">
        <x:v>智能托管</x:v>
      </x:c>
      <x:c r="B42" s="18" t="str">
        <x:v>视觉触点</x:v>
      </x:c>
      <x:c r="C42" s="18" t="str">
        <x:v>空间氛围</x:v>
      </x:c>
      <x:c r="D42" s="26" t="n">
        <x:v>8</x:v>
      </x:c>
      <x:c r="E42" s="28" t="n">
        <x:f>D42/SUMIF($A$4:$A$55,A42,$D$4:$D$55)</x:f>
        <x:v>0.028268551236749116</x:v>
      </x:c>
      <x:c r="F42" s="26" t="n">
        <x:v>2</x:v>
      </x:c>
      <x:c r="G42" s="26" t="n">
        <x:v>6</x:v>
      </x:c>
      <x:c r="H42" s="26" t="n">
        <x:v>0</x:v>
      </x:c>
      <x:c r="I42" s="28" t="n">
        <x:f>F42/D42</x:f>
        <x:v>0.25</x:v>
      </x:c>
      <x:c r="J42" s="28" t="n">
        <x:f>G42/D42</x:f>
        <x:v>0.75</x:v>
      </x:c>
      <x:c r="K42" s="28" t="n">
        <x:f>H42/D42</x:f>
        <x:v>0</x:v>
      </x:c>
      <x:c r="L42" s="18" t="str">
        <x:v>愉悦与氛围感</x:v>
      </x:c>
      <x:c r="M42" s="18" t="str">
        <x:v>愉悦与氛围感 62.5%；美观与价值感 25.0%；专注 12.5%</x:v>
      </x:c>
      <x:c r="N42" s="18" t="str">
        <x:v>无差异型（I）</x:v>
      </x:c>
      <x:c r="O42" s="18" t="str">
        <x:v>低优先级观察</x:v>
      </x:c>
    </x:row>
    <x:row r="43">
      <x:c r="A43" s="18" t="str">
        <x:v>智能托管</x:v>
      </x:c>
      <x:c r="B43" s="18" t="str">
        <x:v>视觉触点</x:v>
      </x:c>
      <x:c r="C43" s="18" t="str">
        <x:v>视觉舒适</x:v>
      </x:c>
      <x:c r="D43" s="26" t="n">
        <x:v>6</x:v>
      </x:c>
      <x:c r="E43" s="28" t="n">
        <x:f>D43/SUMIF($A$4:$A$55,A43,$D$4:$D$55)</x:f>
        <x:v>0.02120141342756184</x:v>
      </x:c>
      <x:c r="F43" s="26" t="n">
        <x:v>2</x:v>
      </x:c>
      <x:c r="G43" s="26" t="n">
        <x:v>4</x:v>
      </x:c>
      <x:c r="H43" s="26" t="n">
        <x:v>0</x:v>
      </x:c>
      <x:c r="I43" s="28" t="n">
        <x:f>F43/D43</x:f>
        <x:v>0.3333333333333333</x:v>
      </x:c>
      <x:c r="J43" s="28" t="n">
        <x:f>G43/D43</x:f>
        <x:v>0.6666666666666666</x:v>
      </x:c>
      <x:c r="K43" s="28" t="n">
        <x:f>H43/D43</x:f>
        <x:v>0</x:v>
      </x:c>
      <x:c r="L43" s="18" t="str">
        <x:v>舒适感</x:v>
      </x:c>
      <x:c r="M43" s="18" t="str">
        <x:v>舒适感 50.0%；愉悦与氛围感 16.7%；便捷性 16.7%；美观与价值感 16.7%</x:v>
      </x:c>
      <x:c r="N43" s="18" t="str">
        <x:v>无差异型（I）</x:v>
      </x:c>
      <x:c r="O43" s="18" t="str">
        <x:v>低优先级观察</x:v>
      </x:c>
    </x:row>
    <x:row r="44">
      <x:c r="A44" s="18" t="str">
        <x:v>智能托管</x:v>
      </x:c>
      <x:c r="B44" s="18" t="str">
        <x:v>触觉/近身质感触点</x:v>
      </x:c>
      <x:c r="C44" s="18" t="str">
        <x:v>材料质感</x:v>
      </x:c>
      <x:c r="D44" s="26" t="n">
        <x:v>4</x:v>
      </x:c>
      <x:c r="E44" s="28" t="n">
        <x:f>D44/SUMIF($A$4:$A$55,A44,$D$4:$D$55)</x:f>
        <x:v>0.014134275618374558</x:v>
      </x:c>
      <x:c r="F44" s="26" t="n">
        <x:v>0</x:v>
      </x:c>
      <x:c r="G44" s="26" t="n">
        <x:v>4</x:v>
      </x:c>
      <x:c r="H44" s="26" t="n">
        <x:v>0</x:v>
      </x:c>
      <x:c r="I44" s="28" t="n">
        <x:f>F44/D44</x:f>
        <x:v>0</x:v>
      </x:c>
      <x:c r="J44" s="28" t="n">
        <x:f>G44/D44</x:f>
        <x:v>1</x:v>
      </x:c>
      <x:c r="K44" s="28" t="n">
        <x:f>H44/D44</x:f>
        <x:v>0</x:v>
      </x:c>
      <x:c r="L44" s="18" t="str">
        <x:v>美观与价值感</x:v>
      </x:c>
      <x:c r="M44" s="18" t="str">
        <x:v>美观与价值感 75.0%；便捷性 25.0%</x:v>
      </x:c>
      <x:c r="N44" s="18" t="str">
        <x:v>样本不足（待验证）</x:v>
      </x:c>
      <x:c r="O44" s="18" t="str">
        <x:v>补样本验证</x:v>
      </x:c>
    </x:row>
    <x:row r="45">
      <x:c r="A45" s="18" t="str">
        <x:v>智能托管</x:v>
      </x:c>
      <x:c r="B45" s="18" t="str">
        <x:v>触觉/近身质感触点</x:v>
      </x:c>
      <x:c r="C45" s="18" t="str">
        <x:v>做工细节</x:v>
      </x:c>
      <x:c r="D45" s="26" t="n">
        <x:v>3</x:v>
      </x:c>
      <x:c r="E45" s="28" t="n">
        <x:f>D45/SUMIF($A$4:$A$55,A45,$D$4:$D$55)</x:f>
        <x:v>0.01060070671378092</x:v>
      </x:c>
      <x:c r="F45" s="26" t="n">
        <x:v>1</x:v>
      </x:c>
      <x:c r="G45" s="26" t="n">
        <x:v>2</x:v>
      </x:c>
      <x:c r="H45" s="26" t="n">
        <x:v>0</x:v>
      </x:c>
      <x:c r="I45" s="28" t="n">
        <x:f>F45/D45</x:f>
        <x:v>0.3333333333333333</x:v>
      </x:c>
      <x:c r="J45" s="28" t="n">
        <x:f>G45/D45</x:f>
        <x:v>0.6666666666666666</x:v>
      </x:c>
      <x:c r="K45" s="28" t="n">
        <x:f>H45/D45</x:f>
        <x:v>0</x:v>
      </x:c>
      <x:c r="L45" s="18" t="str">
        <x:v>美观与价值感</x:v>
      </x:c>
      <x:c r="M45" s="18" t="str">
        <x:v>美观与价值感 66.7%；愉悦与氛围感 33.3%</x:v>
      </x:c>
      <x:c r="N45" s="18" t="str">
        <x:v>样本不足（待验证）</x:v>
      </x:c>
      <x:c r="O45" s="18" t="str">
        <x:v>补样本验证</x:v>
      </x:c>
    </x:row>
    <x:row r="46">
      <x:c r="A46" s="18" t="str">
        <x:v>智能托管</x:v>
      </x:c>
      <x:c r="B46" s="18" t="str">
        <x:v>视觉触点</x:v>
      </x:c>
      <x:c r="C46" s="18" t="str">
        <x:v>形体造型</x:v>
      </x:c>
      <x:c r="D46" s="26" t="n">
        <x:v>3</x:v>
      </x:c>
      <x:c r="E46" s="28" t="n">
        <x:f>D46/SUMIF($A$4:$A$55,A46,$D$4:$D$55)</x:f>
        <x:v>0.01060070671378092</x:v>
      </x:c>
      <x:c r="F46" s="26" t="n">
        <x:v>0</x:v>
      </x:c>
      <x:c r="G46" s="26" t="n">
        <x:v>3</x:v>
      </x:c>
      <x:c r="H46" s="26" t="n">
        <x:v>0</x:v>
      </x:c>
      <x:c r="I46" s="28" t="n">
        <x:f>F46/D46</x:f>
        <x:v>0</x:v>
      </x:c>
      <x:c r="J46" s="28" t="n">
        <x:f>G46/D46</x:f>
        <x:v>1</x:v>
      </x:c>
      <x:c r="K46" s="28" t="n">
        <x:f>H46/D46</x:f>
        <x:v>0</x:v>
      </x:c>
      <x:c r="L46" s="18" t="str">
        <x:v>便捷性</x:v>
      </x:c>
      <x:c r="M46" s="18" t="str">
        <x:v>便捷性 33.3%；愉悦与氛围感 33.3%；舒适感 33.3%</x:v>
      </x:c>
      <x:c r="N46" s="18" t="str">
        <x:v>样本不足（待验证）</x:v>
      </x:c>
      <x:c r="O46" s="18" t="str">
        <x:v>补样本验证</x:v>
      </x:c>
    </x:row>
    <x:row r="47">
      <x:c r="A47" s="18" t="str">
        <x:v>睡眠与起居</x:v>
      </x:c>
      <x:c r="B47" s="18" t="str">
        <x:v>视觉触点</x:v>
      </x:c>
      <x:c r="C47" s="18" t="str">
        <x:v>照明与色调</x:v>
      </x:c>
      <x:c r="D47" s="26" t="n">
        <x:v>244</x:v>
      </x:c>
      <x:c r="E47" s="28" t="n">
        <x:f>D47/SUMIF($A$4:$A$55,A47,$D$4:$D$55)</x:f>
        <x:v>0.5635103926096998</x:v>
      </x:c>
      <x:c r="F47" s="26" t="n">
        <x:v>111</x:v>
      </x:c>
      <x:c r="G47" s="26" t="n">
        <x:v>104</x:v>
      </x:c>
      <x:c r="H47" s="26" t="n">
        <x:v>29</x:v>
      </x:c>
      <x:c r="I47" s="28" t="n">
        <x:f>F47/D47</x:f>
        <x:v>0.45491803278688525</x:v>
      </x:c>
      <x:c r="J47" s="28" t="n">
        <x:f>G47/D47</x:f>
        <x:v>0.4262295081967213</x:v>
      </x:c>
      <x:c r="K47" s="28" t="n">
        <x:f>H47/D47</x:f>
        <x:v>0.11885245901639344</x:v>
      </x:c>
      <x:c r="L47" s="18" t="str">
        <x:v>舒适感</x:v>
      </x:c>
      <x:c r="M47" s="18" t="str">
        <x:v>舒适感 70.9%；愉悦与氛围感 10.7%；便捷性 7.8%；安全感 5.7%；其他 4.9%</x:v>
      </x:c>
      <x:c r="N47" s="18" t="str">
        <x:v>期望型（O）</x:v>
      </x:c>
      <x:c r="O47" s="18" t="str">
        <x:v>重点优化</x:v>
      </x:c>
    </x:row>
    <x:row r="48">
      <x:c r="A48" s="18" t="str">
        <x:v>睡眠与起居</x:v>
      </x:c>
      <x:c r="B48" s="18" t="str">
        <x:v>操作交互触点</x:v>
      </x:c>
      <x:c r="C48" s="18" t="str">
        <x:v>交互功能</x:v>
      </x:c>
      <x:c r="D48" s="26" t="n">
        <x:v>93</x:v>
      </x:c>
      <x:c r="E48" s="28" t="n">
        <x:f>D48/SUMIF($A$4:$A$55,A48,$D$4:$D$55)</x:f>
        <x:v>0.21478060046189376</x:v>
      </x:c>
      <x:c r="F48" s="26" t="n">
        <x:v>34</x:v>
      </x:c>
      <x:c r="G48" s="26" t="n">
        <x:v>56</x:v>
      </x:c>
      <x:c r="H48" s="26" t="n">
        <x:v>3</x:v>
      </x:c>
      <x:c r="I48" s="28" t="n">
        <x:f>F48/D48</x:f>
        <x:v>0.3655913978494624</x:v>
      </x:c>
      <x:c r="J48" s="28" t="n">
        <x:f>G48/D48</x:f>
        <x:v>0.6021505376344086</x:v>
      </x:c>
      <x:c r="K48" s="28" t="n">
        <x:f>H48/D48</x:f>
        <x:v>0.03225806451612903</x:v>
      </x:c>
      <x:c r="L48" s="18" t="str">
        <x:v>便捷性</x:v>
      </x:c>
      <x:c r="M48" s="18" t="str">
        <x:v>便捷性 50.5%；舒适感 19.4%；愉悦与氛围感 15.1%；无 10.8%；其他 4.3%</x:v>
      </x:c>
      <x:c r="N48" s="18" t="str">
        <x:v>魅力型（A）</x:v>
      </x:c>
      <x:c r="O48" s="18" t="str">
        <x:v>强化为卖点</x:v>
      </x:c>
    </x:row>
    <x:row r="49">
      <x:c r="A49" s="18" t="str">
        <x:v>睡眠与起居</x:v>
      </x:c>
      <x:c r="B49" s="18" t="str">
        <x:v>视觉触点</x:v>
      </x:c>
      <x:c r="C49" s="18" t="str">
        <x:v>形体造型</x:v>
      </x:c>
      <x:c r="D49" s="26" t="n">
        <x:v>21</x:v>
      </x:c>
      <x:c r="E49" s="28" t="n">
        <x:f>D49/SUMIF($A$4:$A$55,A49,$D$4:$D$55)</x:f>
        <x:v>0.04849884526558892</x:v>
      </x:c>
      <x:c r="F49" s="26" t="n">
        <x:v>14</x:v>
      </x:c>
      <x:c r="G49" s="26" t="n">
        <x:v>6</x:v>
      </x:c>
      <x:c r="H49" s="26" t="n">
        <x:v>1</x:v>
      </x:c>
      <x:c r="I49" s="28" t="n">
        <x:f>F49/D49</x:f>
        <x:v>0.6666666666666666</x:v>
      </x:c>
      <x:c r="J49" s="28" t="n">
        <x:f>G49/D49</x:f>
        <x:v>0.2857142857142857</x:v>
      </x:c>
      <x:c r="K49" s="28" t="n">
        <x:f>H49/D49</x:f>
        <x:v>0.047619047619047616</x:v>
      </x:c>
      <x:c r="L49" s="18" t="str">
        <x:v>美观与价值感</x:v>
      </x:c>
      <x:c r="M49" s="18" t="str">
        <x:v>美观与价值感 57.1%；舒适感 28.6%；便捷性 14.3%</x:v>
      </x:c>
      <x:c r="N49" s="18" t="str">
        <x:v>魅力型（A）</x:v>
      </x:c>
      <x:c r="O49" s="18" t="str">
        <x:v>强化为卖点</x:v>
      </x:c>
    </x:row>
    <x:row r="50">
      <x:c r="A50" s="18" t="str">
        <x:v>睡眠与起居</x:v>
      </x:c>
      <x:c r="B50" s="18" t="str">
        <x:v>视觉触点</x:v>
      </x:c>
      <x:c r="C50" s="18" t="str">
        <x:v>视觉舒适</x:v>
      </x:c>
      <x:c r="D50" s="26" t="n">
        <x:v>20</x:v>
      </x:c>
      <x:c r="E50" s="28" t="n">
        <x:f>D50/SUMIF($A$4:$A$55,A50,$D$4:$D$55)</x:f>
        <x:v>0.046189376443418015</x:v>
      </x:c>
      <x:c r="F50" s="26" t="n">
        <x:v>10</x:v>
      </x:c>
      <x:c r="G50" s="26" t="n">
        <x:v>9</x:v>
      </x:c>
      <x:c r="H50" s="26" t="n">
        <x:v>1</x:v>
      </x:c>
      <x:c r="I50" s="28" t="n">
        <x:f>F50/D50</x:f>
        <x:v>0.5</x:v>
      </x:c>
      <x:c r="J50" s="28" t="n">
        <x:f>G50/D50</x:f>
        <x:v>0.45</x:v>
      </x:c>
      <x:c r="K50" s="28" t="n">
        <x:f>H50/D50</x:f>
        <x:v>0.05</x:v>
      </x:c>
      <x:c r="L50" s="18" t="str">
        <x:v>舒适感</x:v>
      </x:c>
      <x:c r="M50" s="18" t="str">
        <x:v>舒适感 55.0%；愉悦与氛围感 20.0%；美观与价值感 10.0%；安全感 5.0%；其他 10.0%</x:v>
      </x:c>
      <x:c r="N50" s="18" t="str">
        <x:v>期望型（O）</x:v>
      </x:c>
      <x:c r="O50" s="18" t="str">
        <x:v>持续优化</x:v>
      </x:c>
    </x:row>
    <x:row r="51">
      <x:c r="A51" s="18" t="str">
        <x:v>睡眠与起居</x:v>
      </x:c>
      <x:c r="B51" s="18" t="str">
        <x:v>视觉触点</x:v>
      </x:c>
      <x:c r="C51" s="18" t="str">
        <x:v>色彩</x:v>
      </x:c>
      <x:c r="D51" s="26" t="n">
        <x:v>17</x:v>
      </x:c>
      <x:c r="E51" s="28" t="n">
        <x:f>D51/SUMIF($A$4:$A$55,A51,$D$4:$D$55)</x:f>
        <x:v>0.03926096997690531</x:v>
      </x:c>
      <x:c r="F51" s="26" t="n">
        <x:v>7</x:v>
      </x:c>
      <x:c r="G51" s="26" t="n">
        <x:v>10</x:v>
      </x:c>
      <x:c r="H51" s="26" t="n">
        <x:v>0</x:v>
      </x:c>
      <x:c r="I51" s="28" t="n">
        <x:f>F51/D51</x:f>
        <x:v>0.4117647058823529</x:v>
      </x:c>
      <x:c r="J51" s="28" t="n">
        <x:f>G51/D51</x:f>
        <x:v>0.5882352941176471</x:v>
      </x:c>
      <x:c r="K51" s="28" t="n">
        <x:f>H51/D51</x:f>
        <x:v>0</x:v>
      </x:c>
      <x:c r="L51" s="18" t="str">
        <x:v>美观与价值感</x:v>
      </x:c>
      <x:c r="M51" s="18" t="str">
        <x:v>美观与价值感 47.1%；舒适感 23.5%；愉悦与氛围感 11.8%；便捷性 11.8%；其他 5.9%</x:v>
      </x:c>
      <x:c r="N51" s="18" t="str">
        <x:v>魅力型（A）</x:v>
      </x:c>
      <x:c r="O51" s="18" t="str">
        <x:v>适度强化</x:v>
      </x:c>
    </x:row>
    <x:row r="52">
      <x:c r="A52" s="18" t="str">
        <x:v>睡眠与起居</x:v>
      </x:c>
      <x:c r="B52" s="18" t="str">
        <x:v>视觉触点</x:v>
      </x:c>
      <x:c r="C52" s="18" t="str">
        <x:v>空间氛围</x:v>
      </x:c>
      <x:c r="D52" s="26" t="n">
        <x:v>13</x:v>
      </x:c>
      <x:c r="E52" s="28" t="n">
        <x:f>D52/SUMIF($A$4:$A$55,A52,$D$4:$D$55)</x:f>
        <x:v>0.03002309468822171</x:v>
      </x:c>
      <x:c r="F52" s="26" t="n">
        <x:v>8</x:v>
      </x:c>
      <x:c r="G52" s="26" t="n">
        <x:v>5</x:v>
      </x:c>
      <x:c r="H52" s="26" t="n">
        <x:v>0</x:v>
      </x:c>
      <x:c r="I52" s="28" t="n">
        <x:f>F52/D52</x:f>
        <x:v>0.6153846153846154</x:v>
      </x:c>
      <x:c r="J52" s="28" t="n">
        <x:f>G52/D52</x:f>
        <x:v>0.38461538461538464</x:v>
      </x:c>
      <x:c r="K52" s="28" t="n">
        <x:f>H52/D52</x:f>
        <x:v>0</x:v>
      </x:c>
      <x:c r="L52" s="18" t="str">
        <x:v>愉悦与氛围感</x:v>
      </x:c>
      <x:c r="M52" s="18" t="str">
        <x:v>愉悦与氛围感 53.8%；舒适感 23.1%；美观与价值感 7.7%；便捷性 7.7%；其他 7.7%</x:v>
      </x:c>
      <x:c r="N52" s="18" t="str">
        <x:v>魅力型（A）</x:v>
      </x:c>
      <x:c r="O52" s="18" t="str">
        <x:v>强化为卖点</x:v>
      </x:c>
    </x:row>
    <x:row r="53">
      <x:c r="A53" s="18" t="str">
        <x:v>睡眠与起居</x:v>
      </x:c>
      <x:c r="B53" s="18" t="str">
        <x:v>视觉触点</x:v>
      </x:c>
      <x:c r="C53" s="18" t="str">
        <x:v>风格设计</x:v>
      </x:c>
      <x:c r="D53" s="26" t="n">
        <x:v>10</x:v>
      </x:c>
      <x:c r="E53" s="28" t="n">
        <x:f>D53/SUMIF($A$4:$A$55,A53,$D$4:$D$55)</x:f>
        <x:v>0.023094688221709007</x:v>
      </x:c>
      <x:c r="F53" s="26" t="n">
        <x:v>8</x:v>
      </x:c>
      <x:c r="G53" s="26" t="n">
        <x:v>2</x:v>
      </x:c>
      <x:c r="H53" s="26" t="n">
        <x:v>0</x:v>
      </x:c>
      <x:c r="I53" s="28" t="n">
        <x:f>F53/D53</x:f>
        <x:v>0.8</x:v>
      </x:c>
      <x:c r="J53" s="28" t="n">
        <x:f>G53/D53</x:f>
        <x:v>0.2</x:v>
      </x:c>
      <x:c r="K53" s="28" t="n">
        <x:f>H53/D53</x:f>
        <x:v>0</x:v>
      </x:c>
      <x:c r="L53" s="18" t="str">
        <x:v>美观与价值感</x:v>
      </x:c>
      <x:c r="M53" s="18" t="str">
        <x:v>美观与价值感 90.0%；愉悦与氛围感 10.0%</x:v>
      </x:c>
      <x:c r="N53" s="18" t="str">
        <x:v>魅力型（A）</x:v>
      </x:c>
      <x:c r="O53" s="18" t="str">
        <x:v>强化为卖点</x:v>
      </x:c>
    </x:row>
    <x:row r="54">
      <x:c r="A54" s="18" t="str">
        <x:v>睡眠与起居</x:v>
      </x:c>
      <x:c r="B54" s="18" t="str">
        <x:v>触觉/近身质感触点</x:v>
      </x:c>
      <x:c r="C54" s="18" t="str">
        <x:v>做工细节</x:v>
      </x:c>
      <x:c r="D54" s="26" t="n">
        <x:v>10</x:v>
      </x:c>
      <x:c r="E54" s="28" t="n">
        <x:f>D54/SUMIF($A$4:$A$55,A54,$D$4:$D$55)</x:f>
        <x:v>0.023094688221709007</x:v>
      </x:c>
      <x:c r="F54" s="26" t="n">
        <x:v>3</x:v>
      </x:c>
      <x:c r="G54" s="26" t="n">
        <x:v>7</x:v>
      </x:c>
      <x:c r="H54" s="26" t="n">
        <x:v>0</x:v>
      </x:c>
      <x:c r="I54" s="28" t="n">
        <x:f>F54/D54</x:f>
        <x:v>0.3</x:v>
      </x:c>
      <x:c r="J54" s="28" t="n">
        <x:f>G54/D54</x:f>
        <x:v>0.7</x:v>
      </x:c>
      <x:c r="K54" s="28" t="n">
        <x:f>H54/D54</x:f>
        <x:v>0</x:v>
      </x:c>
      <x:c r="L54" s="18" t="str">
        <x:v>美观与价值感</x:v>
      </x:c>
      <x:c r="M54" s="18" t="str">
        <x:v>美观与价值感 80.0%；便捷性 20.0%</x:v>
      </x:c>
      <x:c r="N54" s="18" t="str">
        <x:v>无差异型（I）</x:v>
      </x:c>
      <x:c r="O54" s="18" t="str">
        <x:v>低优先级观察</x:v>
      </x:c>
    </x:row>
    <x:row r="55">
      <x:c r="A55" s="19" t="str">
        <x:v>睡眠与起居</x:v>
      </x:c>
      <x:c r="B55" s="19" t="str">
        <x:v>触觉/近身质感触点</x:v>
      </x:c>
      <x:c r="C55" s="19" t="str">
        <x:v>材料质感</x:v>
      </x:c>
      <x:c r="D55" s="27" t="n">
        <x:v>5</x:v>
      </x:c>
      <x:c r="E55" s="29" t="n">
        <x:f>D55/SUMIF($A$4:$A$55,A55,$D$4:$D$55)</x:f>
        <x:v>0.011547344110854504</x:v>
      </x:c>
      <x:c r="F55" s="27" t="n">
        <x:v>2</x:v>
      </x:c>
      <x:c r="G55" s="27" t="n">
        <x:v>2</x:v>
      </x:c>
      <x:c r="H55" s="27" t="n">
        <x:v>1</x:v>
      </x:c>
      <x:c r="I55" s="29" t="n">
        <x:f>F55/D55</x:f>
        <x:v>0.4</x:v>
      </x:c>
      <x:c r="J55" s="29" t="n">
        <x:f>G55/D55</x:f>
        <x:v>0.4</x:v>
      </x:c>
      <x:c r="K55" s="29" t="n">
        <x:f>H55/D55</x:f>
        <x:v>0.2</x:v>
      </x:c>
      <x:c r="L55" s="19" t="str">
        <x:v>美观与价值感</x:v>
      </x:c>
      <x:c r="M55" s="19" t="str">
        <x:v>美观与价值感 100.0%</x:v>
      </x:c>
      <x:c r="N55" s="19" t="str">
        <x:v>期望型（O）</x:v>
      </x:c>
      <x:c r="O55" s="19" t="str">
        <x:v>重点优化</x:v>
      </x:c>
    </x:row>
  </x:sheetData>
  <x:mergeCells>
    <x:mergeCell ref="A1:O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24" hidden="0" customWidth="1"/>
    <x:col min="3" max="3" width="22" hidden="0" customWidth="1"/>
    <x:col min="4" max="4" width="22" hidden="0" customWidth="1"/>
    <x:col min="5" max="5" width="12" hidden="0" customWidth="1"/>
    <x:col min="6" max="6" width="12" hidden="0" customWidth="1"/>
    <x:col min="7" max="7" width="14" hidden="0" customWidth="1"/>
    <x:col min="8" max="8" width="10" hidden="0" customWidth="1"/>
    <x:col min="9" max="9" width="10" hidden="0" customWidth="1"/>
    <x:col min="10" max="10" width="10" hidden="0" customWidth="1"/>
    <x:col min="11" max="11" width="11" hidden="0" customWidth="1"/>
    <x:col min="12" max="12" width="11" hidden="0" customWidth="1"/>
    <x:col min="13" max="13" width="12" hidden="0" customWidth="1"/>
  </x:cols>
  <x:sheetData>
    <x:row r="1" ht="27" customHeight="1">
      <x:c r="A1" s="3" t="str">
        <x:v>标准化词对明细：使用场景 × 美学指标 × 用户感受</x:v>
      </x:c>
      <x:c r="B1" s="3" t="str">
        <x:v>标准化词对明细：使用场景 × 美学指标 × 用户感受</x:v>
      </x:c>
      <x:c r="C1" s="3" t="str">
        <x:v>标准化词对明细：使用场景 × 美学指标 × 用户感受</x:v>
      </x:c>
      <x:c r="D1" s="3" t="str">
        <x:v>标准化词对明细：使用场景 × 美学指标 × 用户感受</x:v>
      </x:c>
      <x:c r="E1" s="3" t="str">
        <x:v>标准化词对明细：使用场景 × 美学指标 × 用户感受</x:v>
      </x:c>
      <x:c r="F1" s="3" t="str">
        <x:v>标准化词对明细：使用场景 × 美学指标 × 用户感受</x:v>
      </x:c>
      <x:c r="G1" s="3" t="str">
        <x:v>标准化词对明细：使用场景 × 美学指标 × 用户感受</x:v>
      </x:c>
      <x:c r="H1" s="3" t="str">
        <x:v>标准化词对明细：使用场景 × 美学指标 × 用户感受</x:v>
      </x:c>
      <x:c r="I1" s="3" t="str">
        <x:v>标准化词对明细：使用场景 × 美学指标 × 用户感受</x:v>
      </x:c>
      <x:c r="J1" s="3" t="str">
        <x:v>标准化词对明细：使用场景 × 美学指标 × 用户感受</x:v>
      </x:c>
      <x:c r="K1" s="3" t="str">
        <x:v>标准化词对明细：使用场景 × 美学指标 × 用户感受</x:v>
      </x:c>
      <x:c r="L1" s="3" t="str">
        <x:v>标准化词对明细：使用场景 × 美学指标 × 用户感受</x:v>
      </x:c>
      <x:c r="M1" s="3" t="str">
        <x:v>标准化词对明细：使用场景 × 美学指标 × 用户感受</x:v>
      </x:c>
    </x:row>
    <x:row r="3" ht="28" customHeight="1">
      <x:c r="A3" s="12" t="str">
        <x:v>使用场景</x:v>
      </x:c>
      <x:c r="B3" s="25" t="str">
        <x:v>触点类型</x:v>
      </x:c>
      <x:c r="C3" s="25" t="str">
        <x:v>美学指标</x:v>
      </x:c>
      <x:c r="D3" s="25" t="str">
        <x:v>用户感受</x:v>
      </x:c>
      <x:c r="E3" s="25" t="str">
        <x:v>提及频次</x:v>
      </x:c>
      <x:c r="F3" s="25" t="str">
        <x:v>全局占比</x:v>
      </x:c>
      <x:c r="G3" s="25" t="str">
        <x:v>场景内占比</x:v>
      </x:c>
      <x:c r="H3" s="25" t="str">
        <x:v>正向数</x:v>
      </x:c>
      <x:c r="I3" s="25" t="str">
        <x:v>中性数</x:v>
      </x:c>
      <x:c r="J3" s="25" t="str">
        <x:v>负向数</x:v>
      </x:c>
      <x:c r="K3" s="25" t="str">
        <x:v>正向率</x:v>
      </x:c>
      <x:c r="L3" s="25" t="str">
        <x:v>负向率</x:v>
      </x:c>
      <x:c r="M3" s="13" t="str">
        <x:v>主导情感</x:v>
      </x:c>
    </x:row>
    <x:row r="4">
      <x:c r="A4" s="18" t="str">
        <x:v>无</x:v>
      </x:c>
      <x:c r="B4" s="18" t="str">
        <x:v>视觉触点</x:v>
      </x:c>
      <x:c r="C4" s="18" t="str">
        <x:v>照明与色调</x:v>
      </x:c>
      <x:c r="D4" s="18" t="str">
        <x:v>舒适感</x:v>
      </x:c>
      <x:c r="E4" s="26" t="n">
        <x:v>467</x:v>
      </x:c>
      <x:c r="F4" s="28" t="n">
        <x:f>E4/4747</x:f>
        <x:v>0.09837792289867285</x:v>
      </x:c>
      <x:c r="G4" s="28" t="n">
        <x:f>E4/SUMIF($A$4:$A$256,A4,$E$4:$E$256)</x:f>
        <x:v>0.1986388770735857</x:v>
      </x:c>
      <x:c r="H4" s="26" t="n">
        <x:v>236</x:v>
      </x:c>
      <x:c r="I4" s="26" t="n">
        <x:v>198</x:v>
      </x:c>
      <x:c r="J4" s="26" t="n">
        <x:v>33</x:v>
      </x:c>
      <x:c r="K4" s="28" t="n">
        <x:f>H4/E4</x:f>
        <x:v>0.5053533190578159</x:v>
      </x:c>
      <x:c r="L4" s="28" t="n">
        <x:f>J4/E4</x:f>
        <x:v>0.07066381156316917</x:v>
      </x:c>
      <x:c r="M4" s="18" t="str">
        <x:v>正向</x:v>
      </x:c>
    </x:row>
    <x:row r="5">
      <x:c r="A5" s="18" t="str">
        <x:v>无</x:v>
      </x:c>
      <x:c r="B5" s="18" t="str">
        <x:v>视觉触点</x:v>
      </x:c>
      <x:c r="C5" s="18" t="str">
        <x:v>风格设计</x:v>
      </x:c>
      <x:c r="D5" s="18" t="str">
        <x:v>美观与价值感</x:v>
      </x:c>
      <x:c r="E5" s="26" t="n">
        <x:v>308</x:v>
      </x:c>
      <x:c r="F5" s="28" t="n">
        <x:f>E5/4747</x:f>
        <x:v>0.06488308405308615</x:v>
      </x:c>
      <x:c r="G5" s="28" t="n">
        <x:f>E5/SUMIF($A$4:$A$256,A5,$E$4:$E$256)</x:f>
        <x:v>0.1310080816673756</x:v>
      </x:c>
      <x:c r="H5" s="26" t="n">
        <x:v>148</x:v>
      </x:c>
      <x:c r="I5" s="26" t="n">
        <x:v>153</x:v>
      </x:c>
      <x:c r="J5" s="26" t="n">
        <x:v>7</x:v>
      </x:c>
      <x:c r="K5" s="28" t="n">
        <x:f>H5/E5</x:f>
        <x:v>0.4805194805194805</x:v>
      </x:c>
      <x:c r="L5" s="28" t="n">
        <x:f>J5/E5</x:f>
        <x:v>0.022727272727272728</x:v>
      </x:c>
      <x:c r="M5" s="18" t="str">
        <x:v>中性</x:v>
      </x:c>
    </x:row>
    <x:row r="6">
      <x:c r="A6" s="18" t="str">
        <x:v>无</x:v>
      </x:c>
      <x:c r="B6" s="18" t="str">
        <x:v>视觉触点</x:v>
      </x:c>
      <x:c r="C6" s="18" t="str">
        <x:v>形体造型</x:v>
      </x:c>
      <x:c r="D6" s="18" t="str">
        <x:v>美观与价值感</x:v>
      </x:c>
      <x:c r="E6" s="26" t="n">
        <x:v>298</x:v>
      </x:c>
      <x:c r="F6" s="28" t="n">
        <x:f>E6/4747</x:f>
        <x:v>0.06277649041499894</x:v>
      </x:c>
      <x:c r="G6" s="28" t="n">
        <x:f>E6/SUMIF($A$4:$A$256,A6,$E$4:$E$256)</x:f>
        <x:v>0.1267545725223309</x:v>
      </x:c>
      <x:c r="H6" s="26" t="n">
        <x:v>111</x:v>
      </x:c>
      <x:c r="I6" s="26" t="n">
        <x:v>176</x:v>
      </x:c>
      <x:c r="J6" s="26" t="n">
        <x:v>11</x:v>
      </x:c>
      <x:c r="K6" s="28" t="n">
        <x:f>H6/E6</x:f>
        <x:v>0.3724832214765101</x:v>
      </x:c>
      <x:c r="L6" s="28" t="n">
        <x:f>J6/E6</x:f>
        <x:v>0.03691275167785235</x:v>
      </x:c>
      <x:c r="M6" s="18" t="str">
        <x:v>中性</x:v>
      </x:c>
    </x:row>
    <x:row r="7">
      <x:c r="A7" s="18" t="str">
        <x:v>日常基础照明</x:v>
      </x:c>
      <x:c r="B7" s="18" t="str">
        <x:v>视觉触点</x:v>
      </x:c>
      <x:c r="C7" s="18" t="str">
        <x:v>照明与色调</x:v>
      </x:c>
      <x:c r="D7" s="18" t="str">
        <x:v>舒适感</x:v>
      </x:c>
      <x:c r="E7" s="26" t="n">
        <x:v>293</x:v>
      </x:c>
      <x:c r="F7" s="28" t="n">
        <x:f>E7/4747</x:f>
        <x:v>0.06172319359595534</x:v>
      </x:c>
      <x:c r="G7" s="28" t="n">
        <x:f>E7/SUMIF($A$4:$A$256,A7,$E$4:$E$256)</x:f>
        <x:v>0.26806953339432754</x:v>
      </x:c>
      <x:c r="H7" s="26" t="n">
        <x:v>139</x:v>
      </x:c>
      <x:c r="I7" s="26" t="n">
        <x:v>134</x:v>
      </x:c>
      <x:c r="J7" s="26" t="n">
        <x:v>20</x:v>
      </x:c>
      <x:c r="K7" s="28" t="n">
        <x:f>H7/E7</x:f>
        <x:v>0.47440273037542663</x:v>
      </x:c>
      <x:c r="L7" s="28" t="n">
        <x:f>J7/E7</x:f>
        <x:v>0.06825938566552901</x:v>
      </x:c>
      <x:c r="M7" s="18" t="str">
        <x:v>正向</x:v>
      </x:c>
    </x:row>
    <x:row r="8">
      <x:c r="A8" s="18" t="str">
        <x:v>无</x:v>
      </x:c>
      <x:c r="B8" s="18" t="str">
        <x:v>触觉/近身质感触点</x:v>
      </x:c>
      <x:c r="C8" s="18" t="str">
        <x:v>做工细节</x:v>
      </x:c>
      <x:c r="D8" s="18" t="str">
        <x:v>美观与价值感</x:v>
      </x:c>
      <x:c r="E8" s="26" t="n">
        <x:v>185</x:v>
      </x:c>
      <x:c r="F8" s="28" t="n">
        <x:f>E8/4747</x:f>
        <x:v>0.03897198230461344</x:v>
      </x:c>
      <x:c r="G8" s="28" t="n">
        <x:f>E8/SUMIF($A$4:$A$256,A8,$E$4:$E$256)</x:f>
        <x:v>0.07868991918332624</x:v>
      </x:c>
      <x:c r="H8" s="26" t="n">
        <x:v>63</x:v>
      </x:c>
      <x:c r="I8" s="26" t="n">
        <x:v>119</x:v>
      </x:c>
      <x:c r="J8" s="26" t="n">
        <x:v>3</x:v>
      </x:c>
      <x:c r="K8" s="28" t="n">
        <x:f>H8/E8</x:f>
        <x:v>0.34054054054054056</x:v>
      </x:c>
      <x:c r="L8" s="28" t="n">
        <x:f>J8/E8</x:f>
        <x:v>0.016216216216216217</x:v>
      </x:c>
      <x:c r="M8" s="18" t="str">
        <x:v>中性</x:v>
      </x:c>
    </x:row>
    <x:row r="9">
      <x:c r="A9" s="18" t="str">
        <x:v>无</x:v>
      </x:c>
      <x:c r="B9" s="18" t="str">
        <x:v>视觉触点</x:v>
      </x:c>
      <x:c r="C9" s="18" t="str">
        <x:v>视觉舒适</x:v>
      </x:c>
      <x:c r="D9" s="18" t="str">
        <x:v>舒适感</x:v>
      </x:c>
      <x:c r="E9" s="26" t="n">
        <x:v>181</x:v>
      </x:c>
      <x:c r="F9" s="28" t="n">
        <x:f>E9/4747</x:f>
        <x:v>0.038129344849378556</x:v>
      </x:c>
      <x:c r="G9" s="28" t="n">
        <x:f>E9/SUMIF($A$4:$A$256,A9,$E$4:$E$256)</x:f>
        <x:v>0.07698851552530837</x:v>
      </x:c>
      <x:c r="H9" s="26" t="n">
        <x:v>94</x:v>
      </x:c>
      <x:c r="I9" s="26" t="n">
        <x:v>72</x:v>
      </x:c>
      <x:c r="J9" s="26" t="n">
        <x:v>15</x:v>
      </x:c>
      <x:c r="K9" s="28" t="n">
        <x:f>H9/E9</x:f>
        <x:v>0.5193370165745856</x:v>
      </x:c>
      <x:c r="L9" s="28" t="n">
        <x:f>J9/E9</x:f>
        <x:v>0.08287292817679558</x:v>
      </x:c>
      <x:c r="M9" s="18" t="str">
        <x:v>正向</x:v>
      </x:c>
    </x:row>
    <x:row r="10">
      <x:c r="A10" s="18" t="str">
        <x:v>睡眠与起居</x:v>
      </x:c>
      <x:c r="B10" s="18" t="str">
        <x:v>视觉触点</x:v>
      </x:c>
      <x:c r="C10" s="18" t="str">
        <x:v>照明与色调</x:v>
      </x:c>
      <x:c r="D10" s="18" t="str">
        <x:v>舒适感</x:v>
      </x:c>
      <x:c r="E10" s="26" t="n">
        <x:v>173</x:v>
      </x:c>
      <x:c r="F10" s="28" t="n">
        <x:f>E10/4747</x:f>
        <x:v>0.03644406993890879</x:v>
      </x:c>
      <x:c r="G10" s="28" t="n">
        <x:f>E10/SUMIF($A$4:$A$256,A10,$E$4:$E$256)</x:f>
        <x:v>0.3995381062355658</x:v>
      </x:c>
      <x:c r="H10" s="26" t="n">
        <x:v>64</x:v>
      </x:c>
      <x:c r="I10" s="26" t="n">
        <x:v>85</x:v>
      </x:c>
      <x:c r="J10" s="26" t="n">
        <x:v>24</x:v>
      </x:c>
      <x:c r="K10" s="28" t="n">
        <x:f>H10/E10</x:f>
        <x:v>0.3699421965317919</x:v>
      </x:c>
      <x:c r="L10" s="28" t="n">
        <x:f>J10/E10</x:f>
        <x:v>0.13872832369942195</x:v>
      </x:c>
      <x:c r="M10" s="18" t="str">
        <x:v>中性</x:v>
      </x:c>
    </x:row>
    <x:row r="11">
      <x:c r="A11" s="18" t="str">
        <x:v>无</x:v>
      </x:c>
      <x:c r="B11" s="18" t="str">
        <x:v>视觉触点</x:v>
      </x:c>
      <x:c r="C11" s="18" t="str">
        <x:v>照明与色调</x:v>
      </x:c>
      <x:c r="D11" s="18" t="str">
        <x:v>美观与价值感</x:v>
      </x:c>
      <x:c r="E11" s="26" t="n">
        <x:v>134</x:v>
      </x:c>
      <x:c r="F11" s="28" t="n">
        <x:f>E11/4747</x:f>
        <x:v>0.028228354750368653</x:v>
      </x:c>
      <x:c r="G11" s="28" t="n">
        <x:f>E11/SUMIF($A$4:$A$256,A11,$E$4:$E$256)</x:f>
        <x:v>0.056997022543598466</x:v>
      </x:c>
      <x:c r="H11" s="26" t="n">
        <x:v>68</x:v>
      </x:c>
      <x:c r="I11" s="26" t="n">
        <x:v>65</x:v>
      </x:c>
      <x:c r="J11" s="26" t="n">
        <x:v>1</x:v>
      </x:c>
      <x:c r="K11" s="28" t="n">
        <x:f>H11/E11</x:f>
        <x:v>0.5074626865671642</x:v>
      </x:c>
      <x:c r="L11" s="28" t="n">
        <x:f>J11/E11</x:f>
        <x:v>0.007462686567164179</x:v>
      </x:c>
      <x:c r="M11" s="18" t="str">
        <x:v>正向</x:v>
      </x:c>
    </x:row>
    <x:row r="12">
      <x:c r="A12" s="18" t="str">
        <x:v>无</x:v>
      </x:c>
      <x:c r="B12" s="18" t="str">
        <x:v>触觉/近身质感触点</x:v>
      </x:c>
      <x:c r="C12" s="18" t="str">
        <x:v>材料质感</x:v>
      </x:c>
      <x:c r="D12" s="18" t="str">
        <x:v>美观与价值感</x:v>
      </x:c>
      <x:c r="E12" s="26" t="n">
        <x:v>125</x:v>
      </x:c>
      <x:c r="F12" s="28" t="n">
        <x:f>E12/4747</x:f>
        <x:v>0.026332420476090163</x:v>
      </x:c>
      <x:c r="G12" s="28" t="n">
        <x:f>E12/SUMIF($A$4:$A$256,A12,$E$4:$E$256)</x:f>
        <x:v>0.05316886431305827</x:v>
      </x:c>
      <x:c r="H12" s="26" t="n">
        <x:v>49</x:v>
      </x:c>
      <x:c r="I12" s="26" t="n">
        <x:v>74</x:v>
      </x:c>
      <x:c r="J12" s="26" t="n">
        <x:v>2</x:v>
      </x:c>
      <x:c r="K12" s="28" t="n">
        <x:f>H12/E12</x:f>
        <x:v>0.392</x:v>
      </x:c>
      <x:c r="L12" s="28" t="n">
        <x:f>J12/E12</x:f>
        <x:v>0.016</x:v>
      </x:c>
      <x:c r="M12" s="18" t="str">
        <x:v>中性</x:v>
      </x:c>
    </x:row>
    <x:row r="13">
      <x:c r="A13" s="18" t="str">
        <x:v>智能托管</x:v>
      </x:c>
      <x:c r="B13" s="18" t="str">
        <x:v>操作交互触点</x:v>
      </x:c>
      <x:c r="C13" s="18" t="str">
        <x:v>交互功能</x:v>
      </x:c>
      <x:c r="D13" s="18" t="str">
        <x:v>便捷性</x:v>
      </x:c>
      <x:c r="E13" s="26" t="n">
        <x:v>123</x:v>
      </x:c>
      <x:c r="F13" s="28" t="n">
        <x:f>E13/4747</x:f>
        <x:v>0.02591110174847272</x:v>
      </x:c>
      <x:c r="G13" s="28" t="n">
        <x:f>E13/SUMIF($A$4:$A$256,A13,$E$4:$E$256)</x:f>
        <x:v>0.43462897526501765</x:v>
      </x:c>
      <x:c r="H13" s="26" t="n">
        <x:v>60</x:v>
      </x:c>
      <x:c r="I13" s="26" t="n">
        <x:v>62</x:v>
      </x:c>
      <x:c r="J13" s="26" t="n">
        <x:v>1</x:v>
      </x:c>
      <x:c r="K13" s="28" t="n">
        <x:f>H13/E13</x:f>
        <x:v>0.4878048780487805</x:v>
      </x:c>
      <x:c r="L13" s="28" t="n">
        <x:f>J13/E13</x:f>
        <x:v>0.008130081300813009</x:v>
      </x:c>
      <x:c r="M13" s="18" t="str">
        <x:v>中性</x:v>
      </x:c>
    </x:row>
    <x:row r="14">
      <x:c r="A14" s="18" t="str">
        <x:v>日常基础照明</x:v>
      </x:c>
      <x:c r="B14" s="18" t="str">
        <x:v>视觉触点</x:v>
      </x:c>
      <x:c r="C14" s="18" t="str">
        <x:v>风格设计</x:v>
      </x:c>
      <x:c r="D14" s="18" t="str">
        <x:v>美观与价值感</x:v>
      </x:c>
      <x:c r="E14" s="26" t="n">
        <x:v>94</x:v>
      </x:c>
      <x:c r="F14" s="28" t="n">
        <x:f>E14/4747</x:f>
        <x:v>0.019801980198019802</x:v>
      </x:c>
      <x:c r="G14" s="28" t="n">
        <x:f>E14/SUMIF($A$4:$A$256,A14,$E$4:$E$256)</x:f>
        <x:v>0.08600182982616651</x:v>
      </x:c>
      <x:c r="H14" s="26" t="n">
        <x:v>48</x:v>
      </x:c>
      <x:c r="I14" s="26" t="n">
        <x:v>44</x:v>
      </x:c>
      <x:c r="J14" s="26" t="n">
        <x:v>2</x:v>
      </x:c>
      <x:c r="K14" s="28" t="n">
        <x:f>H14/E14</x:f>
        <x:v>0.5106382978723404</x:v>
      </x:c>
      <x:c r="L14" s="28" t="n">
        <x:f>J14/E14</x:f>
        <x:v>0.02127659574468085</x:v>
      </x:c>
      <x:c r="M14" s="18" t="str">
        <x:v>正向</x:v>
      </x:c>
    </x:row>
    <x:row r="15">
      <x:c r="A15" s="18" t="str">
        <x:v>日常基础照明</x:v>
      </x:c>
      <x:c r="B15" s="18" t="str">
        <x:v>操作交互触点</x:v>
      </x:c>
      <x:c r="C15" s="18" t="str">
        <x:v>交互功能</x:v>
      </x:c>
      <x:c r="D15" s="18" t="str">
        <x:v>便捷性</x:v>
      </x:c>
      <x:c r="E15" s="26" t="n">
        <x:v>92</x:v>
      </x:c>
      <x:c r="F15" s="28" t="n">
        <x:f>E15/4747</x:f>
        <x:v>0.01938066147040236</x:v>
      </x:c>
      <x:c r="G15" s="28" t="n">
        <x:f>E15/SUMIF($A$4:$A$256,A15,$E$4:$E$256)</x:f>
        <x:v>0.08417200365965233</x:v>
      </x:c>
      <x:c r="H15" s="26" t="n">
        <x:v>21</x:v>
      </x:c>
      <x:c r="I15" s="26" t="n">
        <x:v>68</x:v>
      </x:c>
      <x:c r="J15" s="26" t="n">
        <x:v>3</x:v>
      </x:c>
      <x:c r="K15" s="28" t="n">
        <x:f>H15/E15</x:f>
        <x:v>0.22826086956521738</x:v>
      </x:c>
      <x:c r="L15" s="28" t="n">
        <x:f>J15/E15</x:f>
        <x:v>0.03260869565217391</x:v>
      </x:c>
      <x:c r="M15" s="18" t="str">
        <x:v>中性</x:v>
      </x:c>
    </x:row>
    <x:row r="16">
      <x:c r="A16" s="18" t="str">
        <x:v>学习工作</x:v>
      </x:c>
      <x:c r="B16" s="18" t="str">
        <x:v>视觉触点</x:v>
      </x:c>
      <x:c r="C16" s="18" t="str">
        <x:v>照明与色调</x:v>
      </x:c>
      <x:c r="D16" s="18" t="str">
        <x:v>舒适感</x:v>
      </x:c>
      <x:c r="E16" s="26" t="n">
        <x:v>87</x:v>
      </x:c>
      <x:c r="F16" s="28" t="n">
        <x:f>E16/4747</x:f>
        <x:v>0.018327364651358754</x:v>
      </x:c>
      <x:c r="G16" s="28" t="n">
        <x:f>E16/SUMIF($A$4:$A$256,A16,$E$4:$E$256)</x:f>
        <x:v>0.27884615384615385</x:v>
      </x:c>
      <x:c r="H16" s="26" t="n">
        <x:v>33</x:v>
      </x:c>
      <x:c r="I16" s="26" t="n">
        <x:v>46</x:v>
      </x:c>
      <x:c r="J16" s="26" t="n">
        <x:v>8</x:v>
      </x:c>
      <x:c r="K16" s="28" t="n">
        <x:f>H16/E16</x:f>
        <x:v>0.3793103448275862</x:v>
      </x:c>
      <x:c r="L16" s="28" t="n">
        <x:f>J16/E16</x:f>
        <x:v>0.09195402298850575</x:v>
      </x:c>
      <x:c r="M16" s="18" t="str">
        <x:v>中性</x:v>
      </x:c>
    </x:row>
    <x:row r="17">
      <x:c r="A17" s="18" t="str">
        <x:v>无</x:v>
      </x:c>
      <x:c r="B17" s="18" t="str">
        <x:v>操作交互触点</x:v>
      </x:c>
      <x:c r="C17" s="18" t="str">
        <x:v>交互功能</x:v>
      </x:c>
      <x:c r="D17" s="18" t="str">
        <x:v>便捷性</x:v>
      </x:c>
      <x:c r="E17" s="26" t="n">
        <x:v>86</x:v>
      </x:c>
      <x:c r="F17" s="28" t="n">
        <x:f>E17/4747</x:f>
        <x:v>0.018116705287550033</x:v>
      </x:c>
      <x:c r="G17" s="28" t="n">
        <x:f>E17/SUMIF($A$4:$A$256,A17,$E$4:$E$256)</x:f>
        <x:v>0.03658017864738409</x:v>
      </x:c>
      <x:c r="H17" s="26" t="n">
        <x:v>24</x:v>
      </x:c>
      <x:c r="I17" s="26" t="n">
        <x:v>58</x:v>
      </x:c>
      <x:c r="J17" s="26" t="n">
        <x:v>4</x:v>
      </x:c>
      <x:c r="K17" s="28" t="n">
        <x:f>H17/E17</x:f>
        <x:v>0.27906976744186046</x:v>
      </x:c>
      <x:c r="L17" s="28" t="n">
        <x:f>J17/E17</x:f>
        <x:v>0.046511627906976744</x:v>
      </x:c>
      <x:c r="M17" s="18" t="str">
        <x:v>中性</x:v>
      </x:c>
    </x:row>
    <x:row r="18">
      <x:c r="A18" s="18" t="str">
        <x:v>日常基础照明</x:v>
      </x:c>
      <x:c r="B18" s="18" t="str">
        <x:v>视觉触点</x:v>
      </x:c>
      <x:c r="C18" s="18" t="str">
        <x:v>形体造型</x:v>
      </x:c>
      <x:c r="D18" s="18" t="str">
        <x:v>美观与价值感</x:v>
      </x:c>
      <x:c r="E18" s="26" t="n">
        <x:v>86</x:v>
      </x:c>
      <x:c r="F18" s="28" t="n">
        <x:f>E18/4747</x:f>
        <x:v>0.018116705287550033</x:v>
      </x:c>
      <x:c r="G18" s="28" t="n">
        <x:f>E18/SUMIF($A$4:$A$256,A18,$E$4:$E$256)</x:f>
        <x:v>0.07868252516010979</x:v>
      </x:c>
      <x:c r="H18" s="26" t="n">
        <x:v>34</x:v>
      </x:c>
      <x:c r="I18" s="26" t="n">
        <x:v>45</x:v>
      </x:c>
      <x:c r="J18" s="26" t="n">
        <x:v>7</x:v>
      </x:c>
      <x:c r="K18" s="28" t="n">
        <x:f>H18/E18</x:f>
        <x:v>0.3953488372093023</x:v>
      </x:c>
      <x:c r="L18" s="28" t="n">
        <x:f>J18/E18</x:f>
        <x:v>0.08139534883720931</x:v>
      </x:c>
      <x:c r="M18" s="18" t="str">
        <x:v>中性</x:v>
      </x:c>
    </x:row>
    <x:row r="19">
      <x:c r="A19" s="18" t="str">
        <x:v>无</x:v>
      </x:c>
      <x:c r="B19" s="18" t="str">
        <x:v>视觉触点</x:v>
      </x:c>
      <x:c r="C19" s="18" t="str">
        <x:v>色彩</x:v>
      </x:c>
      <x:c r="D19" s="18" t="str">
        <x:v>美观与价值感</x:v>
      </x:c>
      <x:c r="E19" s="26" t="n">
        <x:v>73</x:v>
      </x:c>
      <x:c r="F19" s="28" t="n">
        <x:f>E19/4747</x:f>
        <x:v>0.015378133558036656</x:v>
      </x:c>
      <x:c r="G19" s="28" t="n">
        <x:f>E19/SUMIF($A$4:$A$256,A19,$E$4:$E$256)</x:f>
        <x:v>0.031050616758826033</x:v>
      </x:c>
      <x:c r="H19" s="26" t="n">
        <x:v>22</x:v>
      </x:c>
      <x:c r="I19" s="26" t="n">
        <x:v>49</x:v>
      </x:c>
      <x:c r="J19" s="26" t="n">
        <x:v>2</x:v>
      </x:c>
      <x:c r="K19" s="28" t="n">
        <x:f>H19/E19</x:f>
        <x:v>0.3013698630136986</x:v>
      </x:c>
      <x:c r="L19" s="28" t="n">
        <x:f>J19/E19</x:f>
        <x:v>0.0273972602739726</x:v>
      </x:c>
      <x:c r="M19" s="18" t="str">
        <x:v>中性</x:v>
      </x:c>
    </x:row>
    <x:row r="20">
      <x:c r="A20" s="18" t="str">
        <x:v>日常基础照明</x:v>
      </x:c>
      <x:c r="B20" s="18" t="str">
        <x:v>视觉触点</x:v>
      </x:c>
      <x:c r="C20" s="18" t="str">
        <x:v>视觉舒适</x:v>
      </x:c>
      <x:c r="D20" s="18" t="str">
        <x:v>舒适感</x:v>
      </x:c>
      <x:c r="E20" s="26" t="n">
        <x:v>70</x:v>
      </x:c>
      <x:c r="F20" s="28" t="n">
        <x:f>E20/4747</x:f>
        <x:v>0.01474615546661049</x:v>
      </x:c>
      <x:c r="G20" s="28" t="n">
        <x:f>E20/SUMIF($A$4:$A$256,A20,$E$4:$E$256)</x:f>
        <x:v>0.06404391582799634</x:v>
      </x:c>
      <x:c r="H20" s="26" t="n">
        <x:v>40</x:v>
      </x:c>
      <x:c r="I20" s="26" t="n">
        <x:v>21</x:v>
      </x:c>
      <x:c r="J20" s="26" t="n">
        <x:v>9</x:v>
      </x:c>
      <x:c r="K20" s="28" t="n">
        <x:f>H20/E20</x:f>
        <x:v>0.5714285714285714</x:v>
      </x:c>
      <x:c r="L20" s="28" t="n">
        <x:f>J20/E20</x:f>
        <x:v>0.12857142857142856</x:v>
      </x:c>
      <x:c r="M20" s="18" t="str">
        <x:v>正向</x:v>
      </x:c>
    </x:row>
    <x:row r="21">
      <x:c r="A21" s="18" t="str">
        <x:v>休闲娱乐</x:v>
      </x:c>
      <x:c r="B21" s="18" t="str">
        <x:v>视觉触点</x:v>
      </x:c>
      <x:c r="C21" s="18" t="str">
        <x:v>照明与色调</x:v>
      </x:c>
      <x:c r="D21" s="18" t="str">
        <x:v>舒适感</x:v>
      </x:c>
      <x:c r="E21" s="26" t="n">
        <x:v>56</x:v>
      </x:c>
      <x:c r="F21" s="28" t="n">
        <x:f>E21/4747</x:f>
        <x:v>0.011796924373288392</x:v>
      </x:c>
      <x:c r="G21" s="28" t="n">
        <x:f>E21/SUMIF($A$4:$A$256,A21,$E$4:$E$256)</x:f>
        <x:v>0.26540284360189575</x:v>
      </x:c>
      <x:c r="H21" s="26" t="n">
        <x:v>28</x:v>
      </x:c>
      <x:c r="I21" s="26" t="n">
        <x:v>25</x:v>
      </x:c>
      <x:c r="J21" s="26" t="n">
        <x:v>3</x:v>
      </x:c>
      <x:c r="K21" s="28" t="n">
        <x:f>H21/E21</x:f>
        <x:v>0.5</x:v>
      </x:c>
      <x:c r="L21" s="28" t="n">
        <x:f>J21/E21</x:f>
        <x:v>0.05357142857142857</x:v>
      </x:c>
      <x:c r="M21" s="18" t="str">
        <x:v>正向</x:v>
      </x:c>
    </x:row>
    <x:row r="22">
      <x:c r="A22" s="18" t="str">
        <x:v>睡眠与起居</x:v>
      </x:c>
      <x:c r="B22" s="18" t="str">
        <x:v>操作交互触点</x:v>
      </x:c>
      <x:c r="C22" s="18" t="str">
        <x:v>交互功能</x:v>
      </x:c>
      <x:c r="D22" s="18" t="str">
        <x:v>便捷性</x:v>
      </x:c>
      <x:c r="E22" s="26" t="n">
        <x:v>47</x:v>
      </x:c>
      <x:c r="F22" s="28" t="n">
        <x:f>E22/4747</x:f>
        <x:v>0.009900990099009901</x:v>
      </x:c>
      <x:c r="G22" s="28" t="n">
        <x:f>E22/SUMIF($A$4:$A$256,A22,$E$4:$E$256)</x:f>
        <x:v>0.10854503464203233</x:v>
      </x:c>
      <x:c r="H22" s="26" t="n">
        <x:v>10</x:v>
      </x:c>
      <x:c r="I22" s="26" t="n">
        <x:v>34</x:v>
      </x:c>
      <x:c r="J22" s="26" t="n">
        <x:v>3</x:v>
      </x:c>
      <x:c r="K22" s="28" t="n">
        <x:f>H22/E22</x:f>
        <x:v>0.2127659574468085</x:v>
      </x:c>
      <x:c r="L22" s="28" t="n">
        <x:f>J22/E22</x:f>
        <x:v>0.06382978723404255</x:v>
      </x:c>
      <x:c r="M22" s="18" t="str">
        <x:v>中性</x:v>
      </x:c>
    </x:row>
    <x:row r="23">
      <x:c r="A23" s="18" t="str">
        <x:v>日常基础照明</x:v>
      </x:c>
      <x:c r="B23" s="18" t="str">
        <x:v>视觉触点</x:v>
      </x:c>
      <x:c r="C23" s="18" t="str">
        <x:v>照明与色调</x:v>
      </x:c>
      <x:c r="D23" s="18" t="str">
        <x:v>愉悦与氛围感</x:v>
      </x:c>
      <x:c r="E23" s="26" t="n">
        <x:v>46</x:v>
      </x:c>
      <x:c r="F23" s="28" t="n">
        <x:f>E23/4747</x:f>
        <x:v>0.00969033073520118</x:v>
      </x:c>
      <x:c r="G23" s="28" t="n">
        <x:f>E23/SUMIF($A$4:$A$256,A23,$E$4:$E$256)</x:f>
        <x:v>0.042086001829826164</x:v>
      </x:c>
      <x:c r="H23" s="26" t="n">
        <x:v>29</x:v>
      </x:c>
      <x:c r="I23" s="26" t="n">
        <x:v>16</x:v>
      </x:c>
      <x:c r="J23" s="26" t="n">
        <x:v>1</x:v>
      </x:c>
      <x:c r="K23" s="28" t="n">
        <x:f>H23/E23</x:f>
        <x:v>0.6304347826086957</x:v>
      </x:c>
      <x:c r="L23" s="28" t="n">
        <x:f>J23/E23</x:f>
        <x:v>0.021739130434782608</x:v>
      </x:c>
      <x:c r="M23" s="18" t="str">
        <x:v>正向</x:v>
      </x:c>
    </x:row>
    <x:row r="24">
      <x:c r="A24" s="18" t="str">
        <x:v>日常基础照明</x:v>
      </x:c>
      <x:c r="B24" s="18" t="str">
        <x:v>视觉触点</x:v>
      </x:c>
      <x:c r="C24" s="18" t="str">
        <x:v>照明与色调</x:v>
      </x:c>
      <x:c r="D24" s="18" t="str">
        <x:v>美观与价值感</x:v>
      </x:c>
      <x:c r="E24" s="26" t="n">
        <x:v>46</x:v>
      </x:c>
      <x:c r="F24" s="28" t="n">
        <x:f>E24/4747</x:f>
        <x:v>0.00969033073520118</x:v>
      </x:c>
      <x:c r="G24" s="28" t="n">
        <x:f>E24/SUMIF($A$4:$A$256,A24,$E$4:$E$256)</x:f>
        <x:v>0.042086001829826164</x:v>
      </x:c>
      <x:c r="H24" s="26" t="n">
        <x:v>25</x:v>
      </x:c>
      <x:c r="I24" s="26" t="n">
        <x:v>20</x:v>
      </x:c>
      <x:c r="J24" s="26" t="n">
        <x:v>1</x:v>
      </x:c>
      <x:c r="K24" s="28" t="n">
        <x:f>H24/E24</x:f>
        <x:v>0.5434782608695652</x:v>
      </x:c>
      <x:c r="L24" s="28" t="n">
        <x:f>J24/E24</x:f>
        <x:v>0.021739130434782608</x:v>
      </x:c>
      <x:c r="M24" s="18" t="str">
        <x:v>正向</x:v>
      </x:c>
    </x:row>
    <x:row r="25">
      <x:c r="A25" s="18" t="str">
        <x:v>学习工作</x:v>
      </x:c>
      <x:c r="B25" s="18" t="str">
        <x:v>视觉触点</x:v>
      </x:c>
      <x:c r="C25" s="18" t="str">
        <x:v>照明与色调</x:v>
      </x:c>
      <x:c r="D25" s="18" t="str">
        <x:v>专注</x:v>
      </x:c>
      <x:c r="E25" s="26" t="n">
        <x:v>45</x:v>
      </x:c>
      <x:c r="F25" s="28" t="n">
        <x:f>E25/4747</x:f>
        <x:v>0.009479671371392459</x:v>
      </x:c>
      <x:c r="G25" s="28" t="n">
        <x:f>E25/SUMIF($A$4:$A$256,A25,$E$4:$E$256)</x:f>
        <x:v>0.14423076923076922</x:v>
      </x:c>
      <x:c r="H25" s="26" t="n">
        <x:v>35</x:v>
      </x:c>
      <x:c r="I25" s="26" t="n">
        <x:v>9</x:v>
      </x:c>
      <x:c r="J25" s="26" t="n">
        <x:v>1</x:v>
      </x:c>
      <x:c r="K25" s="28" t="n">
        <x:f>H25/E25</x:f>
        <x:v>0.7777777777777778</x:v>
      </x:c>
      <x:c r="L25" s="28" t="n">
        <x:f>J25/E25</x:f>
        <x:v>0.022222222222222223</x:v>
      </x:c>
      <x:c r="M25" s="18" t="str">
        <x:v>正向</x:v>
      </x:c>
    </x:row>
    <x:row r="26">
      <x:c r="A26" s="18" t="str">
        <x:v>智能托管</x:v>
      </x:c>
      <x:c r="B26" s="18" t="str">
        <x:v>视觉触点</x:v>
      </x:c>
      <x:c r="C26" s="18" t="str">
        <x:v>照明与色调</x:v>
      </x:c>
      <x:c r="D26" s="18" t="str">
        <x:v>舒适感</x:v>
      </x:c>
      <x:c r="E26" s="26" t="n">
        <x:v>43</x:v>
      </x:c>
      <x:c r="F26" s="28" t="n">
        <x:f>E26/4747</x:f>
        <x:v>0.009058352643775016</x:v>
      </x:c>
      <x:c r="G26" s="28" t="n">
        <x:f>E26/SUMIF($A$4:$A$256,A26,$E$4:$E$256)</x:f>
        <x:v>0.1519434628975265</x:v>
      </x:c>
      <x:c r="H26" s="26" t="n">
        <x:v>13</x:v>
      </x:c>
      <x:c r="I26" s="26" t="n">
        <x:v>27</x:v>
      </x:c>
      <x:c r="J26" s="26" t="n">
        <x:v>3</x:v>
      </x:c>
      <x:c r="K26" s="28" t="n">
        <x:f>H26/E26</x:f>
        <x:v>0.3023255813953488</x:v>
      </x:c>
      <x:c r="L26" s="28" t="n">
        <x:f>J26/E26</x:f>
        <x:v>0.06976744186046512</x:v>
      </x:c>
      <x:c r="M26" s="18" t="str">
        <x:v>中性</x:v>
      </x:c>
    </x:row>
    <x:row r="27">
      <x:c r="A27" s="18" t="str">
        <x:v>学习工作</x:v>
      </x:c>
      <x:c r="B27" s="18" t="str">
        <x:v>视觉触点</x:v>
      </x:c>
      <x:c r="C27" s="18" t="str">
        <x:v>视觉舒适</x:v>
      </x:c>
      <x:c r="D27" s="18" t="str">
        <x:v>舒适感</x:v>
      </x:c>
      <x:c r="E27" s="26" t="n">
        <x:v>40</x:v>
      </x:c>
      <x:c r="F27" s="28" t="n">
        <x:f>E27/4747</x:f>
        <x:v>0.008426374552348851</x:v>
      </x:c>
      <x:c r="G27" s="28" t="n">
        <x:f>E27/SUMIF($A$4:$A$256,A27,$E$4:$E$256)</x:f>
        <x:v>0.1282051282051282</x:v>
      </x:c>
      <x:c r="H27" s="26" t="n">
        <x:v>13</x:v>
      </x:c>
      <x:c r="I27" s="26" t="n">
        <x:v>24</x:v>
      </x:c>
      <x:c r="J27" s="26" t="n">
        <x:v>3</x:v>
      </x:c>
      <x:c r="K27" s="28" t="n">
        <x:f>H27/E27</x:f>
        <x:v>0.325</x:v>
      </x:c>
      <x:c r="L27" s="28" t="n">
        <x:f>J27/E27</x:f>
        <x:v>0.075</x:v>
      </x:c>
      <x:c r="M27" s="18" t="str">
        <x:v>中性</x:v>
      </x:c>
    </x:row>
    <x:row r="28">
      <x:c r="A28" s="18" t="str">
        <x:v>日常基础照明</x:v>
      </x:c>
      <x:c r="B28" s="18" t="str">
        <x:v>视觉触点</x:v>
      </x:c>
      <x:c r="C28" s="18" t="str">
        <x:v>照明与色调</x:v>
      </x:c>
      <x:c r="D28" s="18" t="str">
        <x:v>便捷性</x:v>
      </x:c>
      <x:c r="E28" s="26" t="n">
        <x:v>39</x:v>
      </x:c>
      <x:c r="F28" s="28" t="n">
        <x:f>E28/4747</x:f>
        <x:v>0.00821571518854013</x:v>
      </x:c>
      <x:c r="G28" s="28" t="n">
        <x:f>E28/SUMIF($A$4:$A$256,A28,$E$4:$E$256)</x:f>
        <x:v>0.035681610247026534</x:v>
      </x:c>
      <x:c r="H28" s="26" t="n">
        <x:v>21</x:v>
      </x:c>
      <x:c r="I28" s="26" t="n">
        <x:v>15</x:v>
      </x:c>
      <x:c r="J28" s="26" t="n">
        <x:v>3</x:v>
      </x:c>
      <x:c r="K28" s="28" t="n">
        <x:f>H28/E28</x:f>
        <x:v>0.5384615384615384</x:v>
      </x:c>
      <x:c r="L28" s="28" t="n">
        <x:f>J28/E28</x:f>
        <x:v>0.07692307692307693</x:v>
      </x:c>
      <x:c r="M28" s="18" t="str">
        <x:v>正向</x:v>
      </x:c>
    </x:row>
    <x:row r="29">
      <x:c r="A29" s="18" t="str">
        <x:v>无</x:v>
      </x:c>
      <x:c r="B29" s="18" t="str">
        <x:v>视觉触点</x:v>
      </x:c>
      <x:c r="C29" s="18" t="str">
        <x:v>空间氛围</x:v>
      </x:c>
      <x:c r="D29" s="18" t="str">
        <x:v>愉悦与氛围感</x:v>
      </x:c>
      <x:c r="E29" s="26" t="n">
        <x:v>38</x:v>
      </x:c>
      <x:c r="F29" s="28" t="n">
        <x:f>E29/4747</x:f>
        <x:v>0.008005055824731409</x:v>
      </x:c>
      <x:c r="G29" s="28" t="n">
        <x:f>E29/SUMIF($A$4:$A$256,A29,$E$4:$E$256)</x:f>
        <x:v>0.016163334751169715</x:v>
      </x:c>
      <x:c r="H29" s="26" t="n">
        <x:v>9</x:v>
      </x:c>
      <x:c r="I29" s="26" t="n">
        <x:v>28</x:v>
      </x:c>
      <x:c r="J29" s="26" t="n">
        <x:v>1</x:v>
      </x:c>
      <x:c r="K29" s="28" t="n">
        <x:f>H29/E29</x:f>
        <x:v>0.23684210526315788</x:v>
      </x:c>
      <x:c r="L29" s="28" t="n">
        <x:f>J29/E29</x:f>
        <x:v>0.02631578947368421</x:v>
      </x:c>
      <x:c r="M29" s="18" t="str">
        <x:v>中性</x:v>
      </x:c>
    </x:row>
    <x:row r="30">
      <x:c r="A30" s="18" t="str">
        <x:v>无</x:v>
      </x:c>
      <x:c r="B30" s="18" t="str">
        <x:v>视觉触点</x:v>
      </x:c>
      <x:c r="C30" s="18" t="str">
        <x:v>照明与色调</x:v>
      </x:c>
      <x:c r="D30" s="18" t="str">
        <x:v>便捷性</x:v>
      </x:c>
      <x:c r="E30" s="26" t="n">
        <x:v>33</x:v>
      </x:c>
      <x:c r="F30" s="28" t="n">
        <x:f>E30/4747</x:f>
        <x:v>0.006951759005687803</x:v>
      </x:c>
      <x:c r="G30" s="28" t="n">
        <x:f>E30/SUMIF($A$4:$A$256,A30,$E$4:$E$256)</x:f>
        <x:v>0.014036580178647383</x:v>
      </x:c>
      <x:c r="H30" s="26" t="n">
        <x:v>15</x:v>
      </x:c>
      <x:c r="I30" s="26" t="n">
        <x:v>17</x:v>
      </x:c>
      <x:c r="J30" s="26" t="n">
        <x:v>1</x:v>
      </x:c>
      <x:c r="K30" s="28" t="n">
        <x:f>H30/E30</x:f>
        <x:v>0.45454545454545453</x:v>
      </x:c>
      <x:c r="L30" s="28" t="n">
        <x:f>J30/E30</x:f>
        <x:v>0.030303030303030304</x:v>
      </x:c>
      <x:c r="M30" s="18" t="str">
        <x:v>中性</x:v>
      </x:c>
    </x:row>
    <x:row r="31">
      <x:c r="A31" s="18" t="str">
        <x:v>休闲娱乐</x:v>
      </x:c>
      <x:c r="B31" s="18" t="str">
        <x:v>视觉触点</x:v>
      </x:c>
      <x:c r="C31" s="18" t="str">
        <x:v>空间氛围</x:v>
      </x:c>
      <x:c r="D31" s="18" t="str">
        <x:v>愉悦与氛围感</x:v>
      </x:c>
      <x:c r="E31" s="26" t="n">
        <x:v>32</x:v>
      </x:c>
      <x:c r="F31" s="28" t="n">
        <x:f>E31/4747</x:f>
        <x:v>0.0067410996418790815</x:v>
      </x:c>
      <x:c r="G31" s="28" t="n">
        <x:f>E31/SUMIF($A$4:$A$256,A31,$E$4:$E$256)</x:f>
        <x:v>0.15165876777251186</x:v>
      </x:c>
      <x:c r="H31" s="26" t="n">
        <x:v>12</x:v>
      </x:c>
      <x:c r="I31" s="26" t="n">
        <x:v>20</x:v>
      </x:c>
      <x:c r="J31" s="26" t="n">
        <x:v>0</x:v>
      </x:c>
      <x:c r="K31" s="28" t="n">
        <x:f>H31/E31</x:f>
        <x:v>0.375</x:v>
      </x:c>
      <x:c r="L31" s="28" t="n">
        <x:f>J31/E31</x:f>
        <x:v>0</x:v>
      </x:c>
      <x:c r="M31" s="18" t="str">
        <x:v>中性</x:v>
      </x:c>
    </x:row>
    <x:row r="32">
      <x:c r="A32" s="18" t="str">
        <x:v>无</x:v>
      </x:c>
      <x:c r="B32" s="18" t="str">
        <x:v>触觉/近身质感触点</x:v>
      </x:c>
      <x:c r="C32" s="18" t="str">
        <x:v>材料质感</x:v>
      </x:c>
      <x:c r="D32" s="18" t="str">
        <x:v>舒适感</x:v>
      </x:c>
      <x:c r="E32" s="26" t="n">
        <x:v>32</x:v>
      </x:c>
      <x:c r="F32" s="28" t="n">
        <x:f>E32/4747</x:f>
        <x:v>0.0067410996418790815</x:v>
      </x:c>
      <x:c r="G32" s="28" t="n">
        <x:f>E32/SUMIF($A$4:$A$256,A32,$E$4:$E$256)</x:f>
        <x:v>0.013611229264142918</x:v>
      </x:c>
      <x:c r="H32" s="26" t="n">
        <x:v>30</x:v>
      </x:c>
      <x:c r="I32" s="26" t="n">
        <x:v>1</x:v>
      </x:c>
      <x:c r="J32" s="26" t="n">
        <x:v>1</x:v>
      </x:c>
      <x:c r="K32" s="28" t="n">
        <x:f>H32/E32</x:f>
        <x:v>0.9375</x:v>
      </x:c>
      <x:c r="L32" s="28" t="n">
        <x:f>J32/E32</x:f>
        <x:v>0.03125</x:v>
      </x:c>
      <x:c r="M32" s="18" t="str">
        <x:v>正向</x:v>
      </x:c>
    </x:row>
    <x:row r="33">
      <x:c r="A33" s="18" t="str">
        <x:v>无</x:v>
      </x:c>
      <x:c r="B33" s="18" t="str">
        <x:v>视觉触点</x:v>
      </x:c>
      <x:c r="C33" s="18" t="str">
        <x:v>照明与色调</x:v>
      </x:c>
      <x:c r="D33" s="18" t="str">
        <x:v>愉悦与氛围感</x:v>
      </x:c>
      <x:c r="E33" s="26" t="n">
        <x:v>32</x:v>
      </x:c>
      <x:c r="F33" s="28" t="n">
        <x:f>E33/4747</x:f>
        <x:v>0.0067410996418790815</x:v>
      </x:c>
      <x:c r="G33" s="28" t="n">
        <x:f>E33/SUMIF($A$4:$A$256,A33,$E$4:$E$256)</x:f>
        <x:v>0.013611229264142918</x:v>
      </x:c>
      <x:c r="H33" s="26" t="n">
        <x:v>24</x:v>
      </x:c>
      <x:c r="I33" s="26" t="n">
        <x:v>6</x:v>
      </x:c>
      <x:c r="J33" s="26" t="n">
        <x:v>2</x:v>
      </x:c>
      <x:c r="K33" s="28" t="n">
        <x:f>H33/E33</x:f>
        <x:v>0.75</x:v>
      </x:c>
      <x:c r="L33" s="28" t="n">
        <x:f>J33/E33</x:f>
        <x:v>0.0625</x:v>
      </x:c>
      <x:c r="M33" s="18" t="str">
        <x:v>正向</x:v>
      </x:c>
    </x:row>
    <x:row r="34">
      <x:c r="A34" s="18" t="str">
        <x:v>无</x:v>
      </x:c>
      <x:c r="B34" s="18" t="str">
        <x:v>视觉触点</x:v>
      </x:c>
      <x:c r="C34" s="18" t="str">
        <x:v>视觉舒适</x:v>
      </x:c>
      <x:c r="D34" s="18" t="str">
        <x:v>美观与价值感</x:v>
      </x:c>
      <x:c r="E34" s="26" t="n">
        <x:v>32</x:v>
      </x:c>
      <x:c r="F34" s="28" t="n">
        <x:f>E34/4747</x:f>
        <x:v>0.0067410996418790815</x:v>
      </x:c>
      <x:c r="G34" s="28" t="n">
        <x:f>E34/SUMIF($A$4:$A$256,A34,$E$4:$E$256)</x:f>
        <x:v>0.013611229264142918</x:v>
      </x:c>
      <x:c r="H34" s="26" t="n">
        <x:v>12</x:v>
      </x:c>
      <x:c r="I34" s="26" t="n">
        <x:v>19</x:v>
      </x:c>
      <x:c r="J34" s="26" t="n">
        <x:v>1</x:v>
      </x:c>
      <x:c r="K34" s="28" t="n">
        <x:f>H34/E34</x:f>
        <x:v>0.375</x:v>
      </x:c>
      <x:c r="L34" s="28" t="n">
        <x:f>J34/E34</x:f>
        <x:v>0.03125</x:v>
      </x:c>
      <x:c r="M34" s="18" t="str">
        <x:v>中性</x:v>
      </x:c>
    </x:row>
    <x:row r="35">
      <x:c r="A35" s="18" t="str">
        <x:v>日常基础照明</x:v>
      </x:c>
      <x:c r="B35" s="18" t="str">
        <x:v>视觉触点</x:v>
      </x:c>
      <x:c r="C35" s="18" t="str">
        <x:v>色彩</x:v>
      </x:c>
      <x:c r="D35" s="18" t="str">
        <x:v>美观与价值感</x:v>
      </x:c>
      <x:c r="E35" s="26" t="n">
        <x:v>31</x:v>
      </x:c>
      <x:c r="F35" s="28" t="n">
        <x:f>E35/4747</x:f>
        <x:v>0.00653044027807036</x:v>
      </x:c>
      <x:c r="G35" s="28" t="n">
        <x:f>E35/SUMIF($A$4:$A$256,A35,$E$4:$E$256)</x:f>
        <x:v>0.028362305580969808</x:v>
      </x:c>
      <x:c r="H35" s="26" t="n">
        <x:v>8</x:v>
      </x:c>
      <x:c r="I35" s="26" t="n">
        <x:v>22</x:v>
      </x:c>
      <x:c r="J35" s="26" t="n">
        <x:v>1</x:v>
      </x:c>
      <x:c r="K35" s="28" t="n">
        <x:f>H35/E35</x:f>
        <x:v>0.25806451612903225</x:v>
      </x:c>
      <x:c r="L35" s="28" t="n">
        <x:f>J35/E35</x:f>
        <x:v>0.03225806451612903</x:v>
      </x:c>
      <x:c r="M35" s="18" t="str">
        <x:v>中性</x:v>
      </x:c>
    </x:row>
    <x:row r="36">
      <x:c r="A36" s="18" t="str">
        <x:v>日常基础照明</x:v>
      </x:c>
      <x:c r="B36" s="18" t="str">
        <x:v>触觉/近身质感触点</x:v>
      </x:c>
      <x:c r="C36" s="18" t="str">
        <x:v>做工细节</x:v>
      </x:c>
      <x:c r="D36" s="18" t="str">
        <x:v>美观与价值感</x:v>
      </x:c>
      <x:c r="E36" s="26" t="n">
        <x:v>29</x:v>
      </x:c>
      <x:c r="F36" s="28" t="n">
        <x:f>E36/4747</x:f>
        <x:v>0.006109121550452918</x:v>
      </x:c>
      <x:c r="G36" s="28" t="n">
        <x:f>E36/SUMIF($A$4:$A$256,A36,$E$4:$E$256)</x:f>
        <x:v>0.026532479414455627</x:v>
      </x:c>
      <x:c r="H36" s="26" t="n">
        <x:v>3</x:v>
      </x:c>
      <x:c r="I36" s="26" t="n">
        <x:v>25</x:v>
      </x:c>
      <x:c r="J36" s="26" t="n">
        <x:v>1</x:v>
      </x:c>
      <x:c r="K36" s="28" t="n">
        <x:f>H36/E36</x:f>
        <x:v>0.10344827586206896</x:v>
      </x:c>
      <x:c r="L36" s="28" t="n">
        <x:f>J36/E36</x:f>
        <x:v>0.034482758620689655</x:v>
      </x:c>
      <x:c r="M36" s="18" t="str">
        <x:v>中性</x:v>
      </x:c>
    </x:row>
    <x:row r="37">
      <x:c r="A37" s="18" t="str">
        <x:v>日常基础照明</x:v>
      </x:c>
      <x:c r="B37" s="18" t="str">
        <x:v>视觉触点</x:v>
      </x:c>
      <x:c r="C37" s="18" t="str">
        <x:v>空间氛围</x:v>
      </x:c>
      <x:c r="D37" s="18" t="str">
        <x:v>愉悦与氛围感</x:v>
      </x:c>
      <x:c r="E37" s="26" t="n">
        <x:v>27</x:v>
      </x:c>
      <x:c r="F37" s="28" t="n">
        <x:f>E37/4747</x:f>
        <x:v>0.005687802822835475</x:v>
      </x:c>
      <x:c r="G37" s="28" t="n">
        <x:f>E37/SUMIF($A$4:$A$256,A37,$E$4:$E$256)</x:f>
        <x:v>0.024702653247941447</x:v>
      </x:c>
      <x:c r="H37" s="26" t="n">
        <x:v>11</x:v>
      </x:c>
      <x:c r="I37" s="26" t="n">
        <x:v>13</x:v>
      </x:c>
      <x:c r="J37" s="26" t="n">
        <x:v>3</x:v>
      </x:c>
      <x:c r="K37" s="28" t="n">
        <x:f>H37/E37</x:f>
        <x:v>0.4074074074074074</x:v>
      </x:c>
      <x:c r="L37" s="28" t="n">
        <x:f>J37/E37</x:f>
        <x:v>0.1111111111111111</x:v>
      </x:c>
      <x:c r="M37" s="18" t="str">
        <x:v>中性</x:v>
      </x:c>
    </x:row>
    <x:row r="38">
      <x:c r="A38" s="18" t="str">
        <x:v>无</x:v>
      </x:c>
      <x:c r="B38" s="18" t="str">
        <x:v>视觉触点</x:v>
      </x:c>
      <x:c r="C38" s="18" t="str">
        <x:v>形体造型</x:v>
      </x:c>
      <x:c r="D38" s="18" t="str">
        <x:v>便捷性</x:v>
      </x:c>
      <x:c r="E38" s="26" t="n">
        <x:v>26</x:v>
      </x:c>
      <x:c r="F38" s="28" t="n">
        <x:f>E38/4747</x:f>
        <x:v>0.0054771434590267535</x:v>
      </x:c>
      <x:c r="G38" s="28" t="n">
        <x:f>E38/SUMIF($A$4:$A$256,A38,$E$4:$E$256)</x:f>
        <x:v>0.01105912377711612</x:v>
      </x:c>
      <x:c r="H38" s="26" t="n">
        <x:v>23</x:v>
      </x:c>
      <x:c r="I38" s="26" t="n">
        <x:v>3</x:v>
      </x:c>
      <x:c r="J38" s="26" t="n">
        <x:v>0</x:v>
      </x:c>
      <x:c r="K38" s="28" t="n">
        <x:f>H38/E38</x:f>
        <x:v>0.8846153846153846</x:v>
      </x:c>
      <x:c r="L38" s="28" t="n">
        <x:f>J38/E38</x:f>
        <x:v>0</x:v>
      </x:c>
      <x:c r="M38" s="18" t="str">
        <x:v>正向</x:v>
      </x:c>
    </x:row>
    <x:row r="39">
      <x:c r="A39" s="18" t="str">
        <x:v>日常基础照明</x:v>
      </x:c>
      <x:c r="B39" s="18" t="str">
        <x:v>触觉/近身质感触点</x:v>
      </x:c>
      <x:c r="C39" s="18" t="str">
        <x:v>材料质感</x:v>
      </x:c>
      <x:c r="D39" s="18" t="str">
        <x:v>美观与价值感</x:v>
      </x:c>
      <x:c r="E39" s="26" t="n">
        <x:v>26</x:v>
      </x:c>
      <x:c r="F39" s="28" t="n">
        <x:f>E39/4747</x:f>
        <x:v>0.0054771434590267535</x:v>
      </x:c>
      <x:c r="G39" s="28" t="n">
        <x:f>E39/SUMIF($A$4:$A$256,A39,$E$4:$E$256)</x:f>
        <x:v>0.023787740164684355</x:v>
      </x:c>
      <x:c r="H39" s="26" t="n">
        <x:v>4</x:v>
      </x:c>
      <x:c r="I39" s="26" t="n">
        <x:v>21</x:v>
      </x:c>
      <x:c r="J39" s="26" t="n">
        <x:v>1</x:v>
      </x:c>
      <x:c r="K39" s="28" t="n">
        <x:f>H39/E39</x:f>
        <x:v>0.15384615384615385</x:v>
      </x:c>
      <x:c r="L39" s="28" t="n">
        <x:f>J39/E39</x:f>
        <x:v>0.038461538461538464</x:v>
      </x:c>
      <x:c r="M39" s="18" t="str">
        <x:v>中性</x:v>
      </x:c>
    </x:row>
    <x:row r="40">
      <x:c r="A40" s="18" t="str">
        <x:v>睡眠与起居</x:v>
      </x:c>
      <x:c r="B40" s="18" t="str">
        <x:v>视觉触点</x:v>
      </x:c>
      <x:c r="C40" s="18" t="str">
        <x:v>照明与色调</x:v>
      </x:c>
      <x:c r="D40" s="18" t="str">
        <x:v>愉悦与氛围感</x:v>
      </x:c>
      <x:c r="E40" s="26" t="n">
        <x:v>26</x:v>
      </x:c>
      <x:c r="F40" s="28" t="n">
        <x:f>E40/4747</x:f>
        <x:v>0.0054771434590267535</x:v>
      </x:c>
      <x:c r="G40" s="28" t="n">
        <x:f>E40/SUMIF($A$4:$A$256,A40,$E$4:$E$256)</x:f>
        <x:v>0.06004618937644342</x:v>
      </x:c>
      <x:c r="H40" s="26" t="n">
        <x:v>21</x:v>
      </x:c>
      <x:c r="I40" s="26" t="n">
        <x:v>4</x:v>
      </x:c>
      <x:c r="J40" s="26" t="n">
        <x:v>1</x:v>
      </x:c>
      <x:c r="K40" s="28" t="n">
        <x:f>H40/E40</x:f>
        <x:v>0.8076923076923077</x:v>
      </x:c>
      <x:c r="L40" s="28" t="n">
        <x:f>J40/E40</x:f>
        <x:v>0.038461538461538464</x:v>
      </x:c>
      <x:c r="M40" s="18" t="str">
        <x:v>正向</x:v>
      </x:c>
    </x:row>
    <x:row r="41">
      <x:c r="A41" s="18" t="str">
        <x:v>无</x:v>
      </x:c>
      <x:c r="B41" s="18" t="str">
        <x:v>操作交互触点</x:v>
      </x:c>
      <x:c r="C41" s="18" t="str">
        <x:v>交互功能</x:v>
      </x:c>
      <x:c r="D41" s="18" t="str">
        <x:v>美观与价值感</x:v>
      </x:c>
      <x:c r="E41" s="26" t="n">
        <x:v>25</x:v>
      </x:c>
      <x:c r="F41" s="28" t="n">
        <x:f>E41/4747</x:f>
        <x:v>0.005266484095218032</x:v>
      </x:c>
      <x:c r="G41" s="28" t="n">
        <x:f>E41/SUMIF($A$4:$A$256,A41,$E$4:$E$256)</x:f>
        <x:v>0.010633772862611655</x:v>
      </x:c>
      <x:c r="H41" s="26" t="n">
        <x:v>18</x:v>
      </x:c>
      <x:c r="I41" s="26" t="n">
        <x:v>6</x:v>
      </x:c>
      <x:c r="J41" s="26" t="n">
        <x:v>1</x:v>
      </x:c>
      <x:c r="K41" s="28" t="n">
        <x:f>H41/E41</x:f>
        <x:v>0.72</x:v>
      </x:c>
      <x:c r="L41" s="28" t="n">
        <x:f>J41/E41</x:f>
        <x:v>0.04</x:v>
      </x:c>
      <x:c r="M41" s="18" t="str">
        <x:v>正向</x:v>
      </x:c>
    </x:row>
    <x:row r="42">
      <x:c r="A42" s="18" t="str">
        <x:v>学习工作</x:v>
      </x:c>
      <x:c r="B42" s="18" t="str">
        <x:v>操作交互触点</x:v>
      </x:c>
      <x:c r="C42" s="18" t="str">
        <x:v>交互功能</x:v>
      </x:c>
      <x:c r="D42" s="18" t="str">
        <x:v>便捷性</x:v>
      </x:c>
      <x:c r="E42" s="26" t="n">
        <x:v>23</x:v>
      </x:c>
      <x:c r="F42" s="28" t="n">
        <x:f>E42/4747</x:f>
        <x:v>0.00484516536760059</x:v>
      </x:c>
      <x:c r="G42" s="28" t="n">
        <x:f>E42/SUMIF($A$4:$A$256,A42,$E$4:$E$256)</x:f>
        <x:v>0.07371794871794872</x:v>
      </x:c>
      <x:c r="H42" s="26" t="n">
        <x:v>6</x:v>
      </x:c>
      <x:c r="I42" s="26" t="n">
        <x:v>17</x:v>
      </x:c>
      <x:c r="J42" s="26" t="n">
        <x:v>0</x:v>
      </x:c>
      <x:c r="K42" s="28" t="n">
        <x:f>H42/E42</x:f>
        <x:v>0.2608695652173913</x:v>
      </x:c>
      <x:c r="L42" s="28" t="n">
        <x:f>J42/E42</x:f>
        <x:v>0</x:v>
      </x:c>
      <x:c r="M42" s="18" t="str">
        <x:v>中性</x:v>
      </x:c>
    </x:row>
    <x:row r="43">
      <x:c r="A43" s="18" t="str">
        <x:v>亲子互动陪伴</x:v>
      </x:c>
      <x:c r="B43" s="18" t="str">
        <x:v>视觉触点</x:v>
      </x:c>
      <x:c r="C43" s="18" t="str">
        <x:v>照明与色调</x:v>
      </x:c>
      <x:c r="D43" s="18" t="str">
        <x:v>舒适感</x:v>
      </x:c>
      <x:c r="E43" s="26" t="n">
        <x:v>22</x:v>
      </x:c>
      <x:c r="F43" s="28" t="n">
        <x:f>E43/4747</x:f>
        <x:v>0.004634506003791869</x:v>
      </x:c>
      <x:c r="G43" s="28" t="n">
        <x:f>E43/SUMIF($A$4:$A$256,A43,$E$4:$E$256)</x:f>
        <x:v>0.34375</x:v>
      </x:c>
      <x:c r="H43" s="26" t="n">
        <x:v>12</x:v>
      </x:c>
      <x:c r="I43" s="26" t="n">
        <x:v>5</x:v>
      </x:c>
      <x:c r="J43" s="26" t="n">
        <x:v>5</x:v>
      </x:c>
      <x:c r="K43" s="28" t="n">
        <x:f>H43/E43</x:f>
        <x:v>0.5454545454545454</x:v>
      </x:c>
      <x:c r="L43" s="28" t="n">
        <x:f>J43/E43</x:f>
        <x:v>0.22727272727272727</x:v>
      </x:c>
      <x:c r="M43" s="18" t="str">
        <x:v>正向</x:v>
      </x:c>
    </x:row>
    <x:row r="44">
      <x:c r="A44" s="18" t="str">
        <x:v>休闲娱乐</x:v>
      </x:c>
      <x:c r="B44" s="18" t="str">
        <x:v>操作交互触点</x:v>
      </x:c>
      <x:c r="C44" s="18" t="str">
        <x:v>交互功能</x:v>
      </x:c>
      <x:c r="D44" s="18" t="str">
        <x:v>便捷性</x:v>
      </x:c>
      <x:c r="E44" s="26" t="n">
        <x:v>22</x:v>
      </x:c>
      <x:c r="F44" s="28" t="n">
        <x:f>E44/4747</x:f>
        <x:v>0.004634506003791869</x:v>
      </x:c>
      <x:c r="G44" s="28" t="n">
        <x:f>E44/SUMIF($A$4:$A$256,A44,$E$4:$E$256)</x:f>
        <x:v>0.10426540284360189</x:v>
      </x:c>
      <x:c r="H44" s="26" t="n">
        <x:v>11</x:v>
      </x:c>
      <x:c r="I44" s="26" t="n">
        <x:v>11</x:v>
      </x:c>
      <x:c r="J44" s="26" t="n">
        <x:v>0</x:v>
      </x:c>
      <x:c r="K44" s="28" t="n">
        <x:f>H44/E44</x:f>
        <x:v>0.5</x:v>
      </x:c>
      <x:c r="L44" s="28" t="n">
        <x:f>J44/E44</x:f>
        <x:v>0</x:v>
      </x:c>
      <x:c r="M44" s="18" t="str">
        <x:v>正向</x:v>
      </x:c>
    </x:row>
    <x:row r="45">
      <x:c r="A45" s="18" t="str">
        <x:v>休闲娱乐</x:v>
      </x:c>
      <x:c r="B45" s="18" t="str">
        <x:v>视觉触点</x:v>
      </x:c>
      <x:c r="C45" s="18" t="str">
        <x:v>照明与色调</x:v>
      </x:c>
      <x:c r="D45" s="18" t="str">
        <x:v>愉悦与氛围感</x:v>
      </x:c>
      <x:c r="E45" s="26" t="n">
        <x:v>21</x:v>
      </x:c>
      <x:c r="F45" s="28" t="n">
        <x:f>E45/4747</x:f>
        <x:v>0.004423846639983148</x:v>
      </x:c>
      <x:c r="G45" s="28" t="n">
        <x:f>E45/SUMIF($A$4:$A$256,A45,$E$4:$E$256)</x:f>
        <x:v>0.0995260663507109</x:v>
      </x:c>
      <x:c r="H45" s="26" t="n">
        <x:v>19</x:v>
      </x:c>
      <x:c r="I45" s="26" t="n">
        <x:v>2</x:v>
      </x:c>
      <x:c r="J45" s="26" t="n">
        <x:v>0</x:v>
      </x:c>
      <x:c r="K45" s="28" t="n">
        <x:f>H45/E45</x:f>
        <x:v>0.9047619047619048</x:v>
      </x:c>
      <x:c r="L45" s="28" t="n">
        <x:f>J45/E45</x:f>
        <x:v>0</x:v>
      </x:c>
      <x:c r="M45" s="18" t="str">
        <x:v>正向</x:v>
      </x:c>
    </x:row>
    <x:row r="46">
      <x:c r="A46" s="18" t="str">
        <x:v>日常基础照明</x:v>
      </x:c>
      <x:c r="B46" s="18" t="str">
        <x:v>视觉触点</x:v>
      </x:c>
      <x:c r="C46" s="18" t="str">
        <x:v>视觉舒适</x:v>
      </x:c>
      <x:c r="D46" s="18" t="str">
        <x:v>美观与价值感</x:v>
      </x:c>
      <x:c r="E46" s="26" t="n">
        <x:v>21</x:v>
      </x:c>
      <x:c r="F46" s="28" t="n">
        <x:f>E46/4747</x:f>
        <x:v>0.004423846639983148</x:v>
      </x:c>
      <x:c r="G46" s="28" t="n">
        <x:f>E46/SUMIF($A$4:$A$256,A46,$E$4:$E$256)</x:f>
        <x:v>0.0192131747483989</x:v>
      </x:c>
      <x:c r="H46" s="26" t="n">
        <x:v>10</x:v>
      </x:c>
      <x:c r="I46" s="26" t="n">
        <x:v>10</x:v>
      </x:c>
      <x:c r="J46" s="26" t="n">
        <x:v>1</x:v>
      </x:c>
      <x:c r="K46" s="28" t="n">
        <x:f>H46/E46</x:f>
        <x:v>0.47619047619047616</x:v>
      </x:c>
      <x:c r="L46" s="28" t="n">
        <x:f>J46/E46</x:f>
        <x:v>0.047619047619047616</x:v>
      </x:c>
      <x:c r="M46" s="18" t="str">
        <x:v>正向</x:v>
      </x:c>
    </x:row>
    <x:row r="47">
      <x:c r="A47" s="18" t="str">
        <x:v>睡眠与起居</x:v>
      </x:c>
      <x:c r="B47" s="18" t="str">
        <x:v>视觉触点</x:v>
      </x:c>
      <x:c r="C47" s="18" t="str">
        <x:v>照明与色调</x:v>
      </x:c>
      <x:c r="D47" s="18" t="str">
        <x:v>便捷性</x:v>
      </x:c>
      <x:c r="E47" s="26" t="n">
        <x:v>19</x:v>
      </x:c>
      <x:c r="F47" s="28" t="n">
        <x:f>E47/4747</x:f>
        <x:v>0.004002527912365704</x:v>
      </x:c>
      <x:c r="G47" s="28" t="n">
        <x:f>E47/SUMIF($A$4:$A$256,A47,$E$4:$E$256)</x:f>
        <x:v>0.04387990762124711</x:v>
      </x:c>
      <x:c r="H47" s="26" t="n">
        <x:v>12</x:v>
      </x:c>
      <x:c r="I47" s="26" t="n">
        <x:v>5</x:v>
      </x:c>
      <x:c r="J47" s="26" t="n">
        <x:v>2</x:v>
      </x:c>
      <x:c r="K47" s="28" t="n">
        <x:f>H47/E47</x:f>
        <x:v>0.631578947368421</x:v>
      </x:c>
      <x:c r="L47" s="28" t="n">
        <x:f>J47/E47</x:f>
        <x:v>0.10526315789473684</x:v>
      </x:c>
      <x:c r="M47" s="18" t="str">
        <x:v>正向</x:v>
      </x:c>
    </x:row>
    <x:row r="48">
      <x:c r="A48" s="18" t="str">
        <x:v>日常基础照明</x:v>
      </x:c>
      <x:c r="B48" s="18" t="str">
        <x:v>触觉/近身质感触点</x:v>
      </x:c>
      <x:c r="C48" s="18" t="str">
        <x:v>做工细节</x:v>
      </x:c>
      <x:c r="D48" s="18" t="str">
        <x:v>便捷性</x:v>
      </x:c>
      <x:c r="E48" s="26" t="n">
        <x:v>18</x:v>
      </x:c>
      <x:c r="F48" s="28" t="n">
        <x:f>E48/4747</x:f>
        <x:v>0.003791868548556983</x:v>
      </x:c>
      <x:c r="G48" s="28" t="n">
        <x:f>E48/SUMIF($A$4:$A$256,A48,$E$4:$E$256)</x:f>
        <x:v>0.01646843549862763</x:v>
      </x:c>
      <x:c r="H48" s="26" t="n">
        <x:v>13</x:v>
      </x:c>
      <x:c r="I48" s="26" t="n">
        <x:v>4</x:v>
      </x:c>
      <x:c r="J48" s="26" t="n">
        <x:v>1</x:v>
      </x:c>
      <x:c r="K48" s="28" t="n">
        <x:f>H48/E48</x:f>
        <x:v>0.7222222222222222</x:v>
      </x:c>
      <x:c r="L48" s="28" t="n">
        <x:f>J48/E48</x:f>
        <x:v>0.05555555555555555</x:v>
      </x:c>
      <x:c r="M48" s="18" t="str">
        <x:v>正向</x:v>
      </x:c>
    </x:row>
    <x:row r="49">
      <x:c r="A49" s="18" t="str">
        <x:v>睡眠与起居</x:v>
      </x:c>
      <x:c r="B49" s="18" t="str">
        <x:v>操作交互触点</x:v>
      </x:c>
      <x:c r="C49" s="18" t="str">
        <x:v>交互功能</x:v>
      </x:c>
      <x:c r="D49" s="18" t="str">
        <x:v>舒适感</x:v>
      </x:c>
      <x:c r="E49" s="26" t="n">
        <x:v>18</x:v>
      </x:c>
      <x:c r="F49" s="28" t="n">
        <x:f>E49/4747</x:f>
        <x:v>0.003791868548556983</x:v>
      </x:c>
      <x:c r="G49" s="28" t="n">
        <x:f>E49/SUMIF($A$4:$A$256,A49,$E$4:$E$256)</x:f>
        <x:v>0.04157043879907621</x:v>
      </x:c>
      <x:c r="H49" s="26" t="n">
        <x:v>12</x:v>
      </x:c>
      <x:c r="I49" s="26" t="n">
        <x:v>6</x:v>
      </x:c>
      <x:c r="J49" s="26" t="n">
        <x:v>0</x:v>
      </x:c>
      <x:c r="K49" s="28" t="n">
        <x:f>H49/E49</x:f>
        <x:v>0.6666666666666666</x:v>
      </x:c>
      <x:c r="L49" s="28" t="n">
        <x:f>J49/E49</x:f>
        <x:v>0</x:v>
      </x:c>
      <x:c r="M49" s="18" t="str">
        <x:v>正向</x:v>
      </x:c>
    </x:row>
    <x:row r="50">
      <x:c r="A50" s="18" t="str">
        <x:v>无</x:v>
      </x:c>
      <x:c r="B50" s="18" t="str">
        <x:v>触觉/近身质感触点</x:v>
      </x:c>
      <x:c r="C50" s="18" t="str">
        <x:v>做工细节</x:v>
      </x:c>
      <x:c r="D50" s="18" t="str">
        <x:v>安全感</x:v>
      </x:c>
      <x:c r="E50" s="26" t="n">
        <x:v>17</x:v>
      </x:c>
      <x:c r="F50" s="28" t="n">
        <x:f>E50/4747</x:f>
        <x:v>0.003581209184748262</x:v>
      </x:c>
      <x:c r="G50" s="28" t="n">
        <x:f>E50/SUMIF($A$4:$A$256,A50,$E$4:$E$256)</x:f>
        <x:v>0.007230965546575925</x:v>
      </x:c>
      <x:c r="H50" s="26" t="n">
        <x:v>4</x:v>
      </x:c>
      <x:c r="I50" s="26" t="n">
        <x:v>13</x:v>
      </x:c>
      <x:c r="J50" s="26" t="n">
        <x:v>0</x:v>
      </x:c>
      <x:c r="K50" s="28" t="n">
        <x:f>H50/E50</x:f>
        <x:v>0.23529411764705882</x:v>
      </x:c>
      <x:c r="L50" s="28" t="n">
        <x:f>J50/E50</x:f>
        <x:v>0</x:v>
      </x:c>
      <x:c r="M50" s="18" t="str">
        <x:v>中性</x:v>
      </x:c>
    </x:row>
    <x:row r="51">
      <x:c r="A51" s="18" t="str">
        <x:v>休闲娱乐</x:v>
      </x:c>
      <x:c r="B51" s="18" t="str">
        <x:v>操作交互触点</x:v>
      </x:c>
      <x:c r="C51" s="18" t="str">
        <x:v>交互功能</x:v>
      </x:c>
      <x:c r="D51" s="18" t="str">
        <x:v>愉悦与氛围感</x:v>
      </x:c>
      <x:c r="E51" s="26" t="n">
        <x:v>16</x:v>
      </x:c>
      <x:c r="F51" s="28" t="n">
        <x:f>E51/4747</x:f>
        <x:v>0.0033705498209395408</x:v>
      </x:c>
      <x:c r="G51" s="28" t="n">
        <x:f>E51/SUMIF($A$4:$A$256,A51,$E$4:$E$256)</x:f>
        <x:v>0.07582938388625593</x:v>
      </x:c>
      <x:c r="H51" s="26" t="n">
        <x:v>12</x:v>
      </x:c>
      <x:c r="I51" s="26" t="n">
        <x:v>4</x:v>
      </x:c>
      <x:c r="J51" s="26" t="n">
        <x:v>0</x:v>
      </x:c>
      <x:c r="K51" s="28" t="n">
        <x:f>H51/E51</x:f>
        <x:v>0.75</x:v>
      </x:c>
      <x:c r="L51" s="28" t="n">
        <x:f>J51/E51</x:f>
        <x:v>0</x:v>
      </x:c>
      <x:c r="M51" s="18" t="str">
        <x:v>正向</x:v>
      </x:c>
    </x:row>
    <x:row r="52">
      <x:c r="A52" s="18" t="str">
        <x:v>无</x:v>
      </x:c>
      <x:c r="B52" s="18" t="str">
        <x:v>视觉触点</x:v>
      </x:c>
      <x:c r="C52" s="18" t="str">
        <x:v>形体造型</x:v>
      </x:c>
      <x:c r="D52" s="18" t="str">
        <x:v>舒适感</x:v>
      </x:c>
      <x:c r="E52" s="26" t="n">
        <x:v>16</x:v>
      </x:c>
      <x:c r="F52" s="28" t="n">
        <x:f>E52/4747</x:f>
        <x:v>0.0033705498209395408</x:v>
      </x:c>
      <x:c r="G52" s="28" t="n">
        <x:f>E52/SUMIF($A$4:$A$256,A52,$E$4:$E$256)</x:f>
        <x:v>0.006805614632071459</x:v>
      </x:c>
      <x:c r="H52" s="26" t="n">
        <x:v>13</x:v>
      </x:c>
      <x:c r="I52" s="26" t="n">
        <x:v>1</x:v>
      </x:c>
      <x:c r="J52" s="26" t="n">
        <x:v>2</x:v>
      </x:c>
      <x:c r="K52" s="28" t="n">
        <x:f>H52/E52</x:f>
        <x:v>0.8125</x:v>
      </x:c>
      <x:c r="L52" s="28" t="n">
        <x:f>J52/E52</x:f>
        <x:v>0.125</x:v>
      </x:c>
      <x:c r="M52" s="18" t="str">
        <x:v>正向</x:v>
      </x:c>
    </x:row>
    <x:row r="53">
      <x:c r="A53" s="18" t="str">
        <x:v>无</x:v>
      </x:c>
      <x:c r="B53" s="18" t="str">
        <x:v>视觉触点</x:v>
      </x:c>
      <x:c r="C53" s="18" t="str">
        <x:v>空间氛围</x:v>
      </x:c>
      <x:c r="D53" s="18" t="str">
        <x:v>美观与价值感</x:v>
      </x:c>
      <x:c r="E53" s="26" t="n">
        <x:v>16</x:v>
      </x:c>
      <x:c r="F53" s="28" t="n">
        <x:f>E53/4747</x:f>
        <x:v>0.0033705498209395408</x:v>
      </x:c>
      <x:c r="G53" s="28" t="n">
        <x:f>E53/SUMIF($A$4:$A$256,A53,$E$4:$E$256)</x:f>
        <x:v>0.006805614632071459</x:v>
      </x:c>
      <x:c r="H53" s="26" t="n">
        <x:v>10</x:v>
      </x:c>
      <x:c r="I53" s="26" t="n">
        <x:v>6</x:v>
      </x:c>
      <x:c r="J53" s="26" t="n">
        <x:v>0</x:v>
      </x:c>
      <x:c r="K53" s="28" t="n">
        <x:f>H53/E53</x:f>
        <x:v>0.625</x:v>
      </x:c>
      <x:c r="L53" s="28" t="n">
        <x:f>J53/E53</x:f>
        <x:v>0</x:v>
      </x:c>
      <x:c r="M53" s="18" t="str">
        <x:v>正向</x:v>
      </x:c>
    </x:row>
    <x:row r="54">
      <x:c r="A54" s="18" t="str">
        <x:v>无</x:v>
      </x:c>
      <x:c r="B54" s="18" t="str">
        <x:v>视觉触点</x:v>
      </x:c>
      <x:c r="C54" s="18" t="str">
        <x:v>风格设计</x:v>
      </x:c>
      <x:c r="D54" s="18" t="str">
        <x:v>便捷性</x:v>
      </x:c>
      <x:c r="E54" s="26" t="n">
        <x:v>16</x:v>
      </x:c>
      <x:c r="F54" s="28" t="n">
        <x:f>E54/4747</x:f>
        <x:v>0.0033705498209395408</x:v>
      </x:c>
      <x:c r="G54" s="28" t="n">
        <x:f>E54/SUMIF($A$4:$A$256,A54,$E$4:$E$256)</x:f>
        <x:v>0.006805614632071459</x:v>
      </x:c>
      <x:c r="H54" s="26" t="n">
        <x:v>14</x:v>
      </x:c>
      <x:c r="I54" s="26" t="n">
        <x:v>2</x:v>
      </x:c>
      <x:c r="J54" s="26" t="n">
        <x:v>0</x:v>
      </x:c>
      <x:c r="K54" s="28" t="n">
        <x:f>H54/E54</x:f>
        <x:v>0.875</x:v>
      </x:c>
      <x:c r="L54" s="28" t="n">
        <x:f>J54/E54</x:f>
        <x:v>0</x:v>
      </x:c>
      <x:c r="M54" s="18" t="str">
        <x:v>正向</x:v>
      </x:c>
    </x:row>
    <x:row r="55">
      <x:c r="A55" s="18" t="str">
        <x:v>无</x:v>
      </x:c>
      <x:c r="B55" s="18" t="str">
        <x:v>触觉/近身质感触点</x:v>
      </x:c>
      <x:c r="C55" s="18" t="str">
        <x:v>做工细节</x:v>
      </x:c>
      <x:c r="D55" s="18" t="str">
        <x:v>便捷性</x:v>
      </x:c>
      <x:c r="E55" s="26" t="n">
        <x:v>15</x:v>
      </x:c>
      <x:c r="F55" s="28" t="n">
        <x:f>E55/4747</x:f>
        <x:v>0.0031598904571308196</x:v>
      </x:c>
      <x:c r="G55" s="28" t="n">
        <x:f>E55/SUMIF($A$4:$A$256,A55,$E$4:$E$256)</x:f>
        <x:v>0.0063802637175669925</x:v>
      </x:c>
      <x:c r="H55" s="26" t="n">
        <x:v>10</x:v>
      </x:c>
      <x:c r="I55" s="26" t="n">
        <x:v>5</x:v>
      </x:c>
      <x:c r="J55" s="26" t="n">
        <x:v>0</x:v>
      </x:c>
      <x:c r="K55" s="28" t="n">
        <x:f>H55/E55</x:f>
        <x:v>0.6666666666666666</x:v>
      </x:c>
      <x:c r="L55" s="28" t="n">
        <x:f>J55/E55</x:f>
        <x:v>0</x:v>
      </x:c>
      <x:c r="M55" s="18" t="str">
        <x:v>正向</x:v>
      </x:c>
    </x:row>
    <x:row r="56">
      <x:c r="A56" s="18" t="str">
        <x:v>无</x:v>
      </x:c>
      <x:c r="B56" s="18" t="str">
        <x:v>触觉/近身质感触点</x:v>
      </x:c>
      <x:c r="C56" s="18" t="str">
        <x:v>做工细节</x:v>
      </x:c>
      <x:c r="D56" s="18" t="str">
        <x:v>舒适感</x:v>
      </x:c>
      <x:c r="E56" s="26" t="n">
        <x:v>15</x:v>
      </x:c>
      <x:c r="F56" s="28" t="n">
        <x:f>E56/4747</x:f>
        <x:v>0.0031598904571308196</x:v>
      </x:c>
      <x:c r="G56" s="28" t="n">
        <x:f>E56/SUMIF($A$4:$A$256,A56,$E$4:$E$256)</x:f>
        <x:v>0.0063802637175669925</x:v>
      </x:c>
      <x:c r="H56" s="26" t="n">
        <x:v>14</x:v>
      </x:c>
      <x:c r="I56" s="26" t="n">
        <x:v>1</x:v>
      </x:c>
      <x:c r="J56" s="26" t="n">
        <x:v>0</x:v>
      </x:c>
      <x:c r="K56" s="28" t="n">
        <x:f>H56/E56</x:f>
        <x:v>0.9333333333333333</x:v>
      </x:c>
      <x:c r="L56" s="28" t="n">
        <x:f>J56/E56</x:f>
        <x:v>0</x:v>
      </x:c>
      <x:c r="M56" s="18" t="str">
        <x:v>正向</x:v>
      </x:c>
    </x:row>
    <x:row r="57">
      <x:c r="A57" s="18" t="str">
        <x:v>无</x:v>
      </x:c>
      <x:c r="B57" s="18" t="str">
        <x:v>视觉触点</x:v>
      </x:c>
      <x:c r="C57" s="18" t="str">
        <x:v>风格设计</x:v>
      </x:c>
      <x:c r="D57" s="18" t="str">
        <x:v>舒适感</x:v>
      </x:c>
      <x:c r="E57" s="26" t="n">
        <x:v>15</x:v>
      </x:c>
      <x:c r="F57" s="28" t="n">
        <x:f>E57/4747</x:f>
        <x:v>0.0031598904571308196</x:v>
      </x:c>
      <x:c r="G57" s="28" t="n">
        <x:f>E57/SUMIF($A$4:$A$256,A57,$E$4:$E$256)</x:f>
        <x:v>0.0063802637175669925</x:v>
      </x:c>
      <x:c r="H57" s="26" t="n">
        <x:v>10</x:v>
      </x:c>
      <x:c r="I57" s="26" t="n">
        <x:v>4</x:v>
      </x:c>
      <x:c r="J57" s="26" t="n">
        <x:v>1</x:v>
      </x:c>
      <x:c r="K57" s="28" t="n">
        <x:f>H57/E57</x:f>
        <x:v>0.6666666666666666</x:v>
      </x:c>
      <x:c r="L57" s="28" t="n">
        <x:f>J57/E57</x:f>
        <x:v>0.06666666666666667</x:v>
      </x:c>
      <x:c r="M57" s="18" t="str">
        <x:v>正向</x:v>
      </x:c>
    </x:row>
    <x:row r="58">
      <x:c r="A58" s="18" t="str">
        <x:v>日常基础照明</x:v>
      </x:c>
      <x:c r="B58" s="18" t="str">
        <x:v>操作交互触点</x:v>
      </x:c>
      <x:c r="C58" s="18" t="str">
        <x:v>交互功能</x:v>
      </x:c>
      <x:c r="D58" s="18" t="str">
        <x:v>舒适感</x:v>
      </x:c>
      <x:c r="E58" s="26" t="n">
        <x:v>15</x:v>
      </x:c>
      <x:c r="F58" s="28" t="n">
        <x:f>E58/4747</x:f>
        <x:v>0.0031598904571308196</x:v>
      </x:c>
      <x:c r="G58" s="28" t="n">
        <x:f>E58/SUMIF($A$4:$A$256,A58,$E$4:$E$256)</x:f>
        <x:v>0.013723696248856358</x:v>
      </x:c>
      <x:c r="H58" s="26" t="n">
        <x:v>13</x:v>
      </x:c>
      <x:c r="I58" s="26" t="n">
        <x:v>2</x:v>
      </x:c>
      <x:c r="J58" s="26" t="n">
        <x:v>0</x:v>
      </x:c>
      <x:c r="K58" s="28" t="n">
        <x:f>H58/E58</x:f>
        <x:v>0.8666666666666667</x:v>
      </x:c>
      <x:c r="L58" s="28" t="n">
        <x:f>J58/E58</x:f>
        <x:v>0</x:v>
      </x:c>
      <x:c r="M58" s="18" t="str">
        <x:v>正向</x:v>
      </x:c>
    </x:row>
    <x:row r="59">
      <x:c r="A59" s="18" t="str">
        <x:v>日常基础照明</x:v>
      </x:c>
      <x:c r="B59" s="18" t="str">
        <x:v>视觉触点</x:v>
      </x:c>
      <x:c r="C59" s="18" t="str">
        <x:v>风格设计</x:v>
      </x:c>
      <x:c r="D59" s="18" t="str">
        <x:v>便捷性</x:v>
      </x:c>
      <x:c r="E59" s="26" t="n">
        <x:v>15</x:v>
      </x:c>
      <x:c r="F59" s="28" t="n">
        <x:f>E59/4747</x:f>
        <x:v>0.0031598904571308196</x:v>
      </x:c>
      <x:c r="G59" s="28" t="n">
        <x:f>E59/SUMIF($A$4:$A$256,A59,$E$4:$E$256)</x:f>
        <x:v>0.013723696248856358</x:v>
      </x:c>
      <x:c r="H59" s="26" t="n">
        <x:v>12</x:v>
      </x:c>
      <x:c r="I59" s="26" t="n">
        <x:v>3</x:v>
      </x:c>
      <x:c r="J59" s="26" t="n">
        <x:v>0</x:v>
      </x:c>
      <x:c r="K59" s="28" t="n">
        <x:f>H59/E59</x:f>
        <x:v>0.8</x:v>
      </x:c>
      <x:c r="L59" s="28" t="n">
        <x:f>J59/E59</x:f>
        <x:v>0</x:v>
      </x:c>
      <x:c r="M59" s="18" t="str">
        <x:v>正向</x:v>
      </x:c>
    </x:row>
    <x:row r="60">
      <x:c r="A60" s="18" t="str">
        <x:v>无</x:v>
      </x:c>
      <x:c r="B60" s="18" t="str">
        <x:v>操作交互触点</x:v>
      </x:c>
      <x:c r="C60" s="18" t="str">
        <x:v>交互功能</x:v>
      </x:c>
      <x:c r="D60" s="18" t="str">
        <x:v>舒适感</x:v>
      </x:c>
      <x:c r="E60" s="26" t="n">
        <x:v>14</x:v>
      </x:c>
      <x:c r="F60" s="28" t="n">
        <x:f>E60/4747</x:f>
        <x:v>0.002949231093322098</x:v>
      </x:c>
      <x:c r="G60" s="28" t="n">
        <x:f>E60/SUMIF($A$4:$A$256,A60,$E$4:$E$256)</x:f>
        <x:v>0.005954912803062527</x:v>
      </x:c>
      <x:c r="H60" s="26" t="n">
        <x:v>11</x:v>
      </x:c>
      <x:c r="I60" s="26" t="n">
        <x:v>3</x:v>
      </x:c>
      <x:c r="J60" s="26" t="n">
        <x:v>0</x:v>
      </x:c>
      <x:c r="K60" s="28" t="n">
        <x:f>H60/E60</x:f>
        <x:v>0.7857142857142857</x:v>
      </x:c>
      <x:c r="L60" s="28" t="n">
        <x:f>J60/E60</x:f>
        <x:v>0</x:v>
      </x:c>
      <x:c r="M60" s="18" t="str">
        <x:v>正向</x:v>
      </x:c>
    </x:row>
    <x:row r="61">
      <x:c r="A61" s="18" t="str">
        <x:v>无</x:v>
      </x:c>
      <x:c r="B61" s="18" t="str">
        <x:v>视觉触点</x:v>
      </x:c>
      <x:c r="C61" s="18" t="str">
        <x:v>照明与色调</x:v>
      </x:c>
      <x:c r="D61" s="18" t="str">
        <x:v>安全感</x:v>
      </x:c>
      <x:c r="E61" s="26" t="n">
        <x:v>14</x:v>
      </x:c>
      <x:c r="F61" s="28" t="n">
        <x:f>E61/4747</x:f>
        <x:v>0.002949231093322098</x:v>
      </x:c>
      <x:c r="G61" s="28" t="n">
        <x:f>E61/SUMIF($A$4:$A$256,A61,$E$4:$E$256)</x:f>
        <x:v>0.005954912803062527</x:v>
      </x:c>
      <x:c r="H61" s="26" t="n">
        <x:v>12</x:v>
      </x:c>
      <x:c r="I61" s="26" t="n">
        <x:v>2</x:v>
      </x:c>
      <x:c r="J61" s="26" t="n">
        <x:v>0</x:v>
      </x:c>
      <x:c r="K61" s="28" t="n">
        <x:f>H61/E61</x:f>
        <x:v>0.8571428571428571</x:v>
      </x:c>
      <x:c r="L61" s="28" t="n">
        <x:f>J61/E61</x:f>
        <x:v>0</x:v>
      </x:c>
      <x:c r="M61" s="18" t="str">
        <x:v>正向</x:v>
      </x:c>
    </x:row>
    <x:row r="62">
      <x:c r="A62" s="18" t="str">
        <x:v>睡眠与起居</x:v>
      </x:c>
      <x:c r="B62" s="18" t="str">
        <x:v>操作交互触点</x:v>
      </x:c>
      <x:c r="C62" s="18" t="str">
        <x:v>交互功能</x:v>
      </x:c>
      <x:c r="D62" s="18" t="str">
        <x:v>愉悦与氛围感</x:v>
      </x:c>
      <x:c r="E62" s="26" t="n">
        <x:v>14</x:v>
      </x:c>
      <x:c r="F62" s="28" t="n">
        <x:f>E62/4747</x:f>
        <x:v>0.002949231093322098</x:v>
      </x:c>
      <x:c r="G62" s="28" t="n">
        <x:f>E62/SUMIF($A$4:$A$256,A62,$E$4:$E$256)</x:f>
        <x:v>0.03233256351039261</x:v>
      </x:c>
      <x:c r="H62" s="26" t="n">
        <x:v>9</x:v>
      </x:c>
      <x:c r="I62" s="26" t="n">
        <x:v>5</x:v>
      </x:c>
      <x:c r="J62" s="26" t="n">
        <x:v>0</x:v>
      </x:c>
      <x:c r="K62" s="28" t="n">
        <x:f>H62/E62</x:f>
        <x:v>0.6428571428571429</x:v>
      </x:c>
      <x:c r="L62" s="28" t="n">
        <x:f>J62/E62</x:f>
        <x:v>0</x:v>
      </x:c>
      <x:c r="M62" s="18" t="str">
        <x:v>正向</x:v>
      </x:c>
    </x:row>
    <x:row r="63">
      <x:c r="A63" s="18" t="str">
        <x:v>睡眠与起居</x:v>
      </x:c>
      <x:c r="B63" s="18" t="str">
        <x:v>视觉触点</x:v>
      </x:c>
      <x:c r="C63" s="18" t="str">
        <x:v>照明与色调</x:v>
      </x:c>
      <x:c r="D63" s="18" t="str">
        <x:v>安全感</x:v>
      </x:c>
      <x:c r="E63" s="26" t="n">
        <x:v>14</x:v>
      </x:c>
      <x:c r="F63" s="28" t="n">
        <x:f>E63/4747</x:f>
        <x:v>0.002949231093322098</x:v>
      </x:c>
      <x:c r="G63" s="28" t="n">
        <x:f>E63/SUMIF($A$4:$A$256,A63,$E$4:$E$256)</x:f>
        <x:v>0.03233256351039261</x:v>
      </x:c>
      <x:c r="H63" s="26" t="n">
        <x:v>11</x:v>
      </x:c>
      <x:c r="I63" s="26" t="n">
        <x:v>3</x:v>
      </x:c>
      <x:c r="J63" s="26" t="n">
        <x:v>0</x:v>
      </x:c>
      <x:c r="K63" s="28" t="n">
        <x:f>H63/E63</x:f>
        <x:v>0.7857142857142857</x:v>
      </x:c>
      <x:c r="L63" s="28" t="n">
        <x:f>J63/E63</x:f>
        <x:v>0</x:v>
      </x:c>
      <x:c r="M63" s="18" t="str">
        <x:v>正向</x:v>
      </x:c>
    </x:row>
    <x:row r="64">
      <x:c r="A64" s="18" t="str">
        <x:v>智能托管</x:v>
      </x:c>
      <x:c r="B64" s="18" t="str">
        <x:v>操作交互触点</x:v>
      </x:c>
      <x:c r="C64" s="18" t="str">
        <x:v>交互功能</x:v>
      </x:c>
      <x:c r="D64" s="18" t="str">
        <x:v>舒适感</x:v>
      </x:c>
      <x:c r="E64" s="26" t="n">
        <x:v>13</x:v>
      </x:c>
      <x:c r="F64" s="28" t="n">
        <x:f>E64/4747</x:f>
        <x:v>0.0027385717295133768</x:v>
      </x:c>
      <x:c r="G64" s="28" t="n">
        <x:f>E64/SUMIF($A$4:$A$256,A64,$E$4:$E$256)</x:f>
        <x:v>0.045936395759717315</x:v>
      </x:c>
      <x:c r="H64" s="26" t="n">
        <x:v>10</x:v>
      </x:c>
      <x:c r="I64" s="26" t="n">
        <x:v>3</x:v>
      </x:c>
      <x:c r="J64" s="26" t="n">
        <x:v>0</x:v>
      </x:c>
      <x:c r="K64" s="28" t="n">
        <x:f>H64/E64</x:f>
        <x:v>0.7692307692307693</x:v>
      </x:c>
      <x:c r="L64" s="28" t="n">
        <x:f>J64/E64</x:f>
        <x:v>0</x:v>
      </x:c>
      <x:c r="M64" s="18" t="str">
        <x:v>正向</x:v>
      </x:c>
    </x:row>
    <x:row r="65">
      <x:c r="A65" s="18" t="str">
        <x:v>学习工作</x:v>
      </x:c>
      <x:c r="B65" s="18" t="str">
        <x:v>视觉触点</x:v>
      </x:c>
      <x:c r="C65" s="18" t="str">
        <x:v>照明与色调</x:v>
      </x:c>
      <x:c r="D65" s="18" t="str">
        <x:v>便捷性</x:v>
      </x:c>
      <x:c r="E65" s="26" t="n">
        <x:v>12</x:v>
      </x:c>
      <x:c r="F65" s="28" t="n">
        <x:f>E65/4747</x:f>
        <x:v>0.0025279123657046556</x:v>
      </x:c>
      <x:c r="G65" s="28" t="n">
        <x:f>E65/SUMIF($A$4:$A$256,A65,$E$4:$E$256)</x:f>
        <x:v>0.038461538461538464</x:v>
      </x:c>
      <x:c r="H65" s="26" t="n">
        <x:v>6</x:v>
      </x:c>
      <x:c r="I65" s="26" t="n">
        <x:v>6</x:v>
      </x:c>
      <x:c r="J65" s="26" t="n">
        <x:v>0</x:v>
      </x:c>
      <x:c r="K65" s="28" t="n">
        <x:f>H65/E65</x:f>
        <x:v>0.5</x:v>
      </x:c>
      <x:c r="L65" s="28" t="n">
        <x:f>J65/E65</x:f>
        <x:v>0</x:v>
      </x:c>
      <x:c r="M65" s="18" t="str">
        <x:v>正向</x:v>
      </x:c>
    </x:row>
    <x:row r="66">
      <x:c r="A66" s="18" t="str">
        <x:v>无</x:v>
      </x:c>
      <x:c r="B66" s="18" t="str">
        <x:v>视觉触点</x:v>
      </x:c>
      <x:c r="C66" s="18" t="str">
        <x:v>风格设计</x:v>
      </x:c>
      <x:c r="D66" s="18" t="str">
        <x:v>愉悦与氛围感</x:v>
      </x:c>
      <x:c r="E66" s="26" t="n">
        <x:v>12</x:v>
      </x:c>
      <x:c r="F66" s="28" t="n">
        <x:f>E66/4747</x:f>
        <x:v>0.0025279123657046556</x:v>
      </x:c>
      <x:c r="G66" s="28" t="n">
        <x:f>E66/SUMIF($A$4:$A$256,A66,$E$4:$E$256)</x:f>
        <x:v>0.005104210974053594</x:v>
      </x:c>
      <x:c r="H66" s="26" t="n">
        <x:v>5</x:v>
      </x:c>
      <x:c r="I66" s="26" t="n">
        <x:v>7</x:v>
      </x:c>
      <x:c r="J66" s="26" t="n">
        <x:v>0</x:v>
      </x:c>
      <x:c r="K66" s="28" t="n">
        <x:f>H66/E66</x:f>
        <x:v>0.4166666666666667</x:v>
      </x:c>
      <x:c r="L66" s="28" t="n">
        <x:f>J66/E66</x:f>
        <x:v>0</x:v>
      </x:c>
      <x:c r="M66" s="18" t="str">
        <x:v>中性</x:v>
      </x:c>
    </x:row>
    <x:row r="67">
      <x:c r="A67" s="18" t="str">
        <x:v>智能托管</x:v>
      </x:c>
      <x:c r="B67" s="18" t="str">
        <x:v>视觉触点</x:v>
      </x:c>
      <x:c r="C67" s="18" t="str">
        <x:v>照明与色调</x:v>
      </x:c>
      <x:c r="D67" s="18" t="str">
        <x:v>便捷性</x:v>
      </x:c>
      <x:c r="E67" s="26" t="n">
        <x:v>12</x:v>
      </x:c>
      <x:c r="F67" s="28" t="n">
        <x:f>E67/4747</x:f>
        <x:v>0.0025279123657046556</x:v>
      </x:c>
      <x:c r="G67" s="28" t="n">
        <x:f>E67/SUMIF($A$4:$A$256,A67,$E$4:$E$256)</x:f>
        <x:v>0.04240282685512368</x:v>
      </x:c>
      <x:c r="H67" s="26" t="n">
        <x:v>7</x:v>
      </x:c>
      <x:c r="I67" s="26" t="n">
        <x:v>5</x:v>
      </x:c>
      <x:c r="J67" s="26" t="n">
        <x:v>0</x:v>
      </x:c>
      <x:c r="K67" s="28" t="n">
        <x:f>H67/E67</x:f>
        <x:v>0.5833333333333334</x:v>
      </x:c>
      <x:c r="L67" s="28" t="n">
        <x:f>J67/E67</x:f>
        <x:v>0</x:v>
      </x:c>
      <x:c r="M67" s="18" t="str">
        <x:v>正向</x:v>
      </x:c>
    </x:row>
    <x:row r="68">
      <x:c r="A68" s="18" t="str">
        <x:v>睡眠与起居</x:v>
      </x:c>
      <x:c r="B68" s="18" t="str">
        <x:v>视觉触点</x:v>
      </x:c>
      <x:c r="C68" s="18" t="str">
        <x:v>形体造型</x:v>
      </x:c>
      <x:c r="D68" s="18" t="str">
        <x:v>美观与价值感</x:v>
      </x:c>
      <x:c r="E68" s="26" t="n">
        <x:v>12</x:v>
      </x:c>
      <x:c r="F68" s="28" t="n">
        <x:f>E68/4747</x:f>
        <x:v>0.0025279123657046556</x:v>
      </x:c>
      <x:c r="G68" s="28" t="n">
        <x:f>E68/SUMIF($A$4:$A$256,A68,$E$4:$E$256)</x:f>
        <x:v>0.02771362586605081</x:v>
      </x:c>
      <x:c r="H68" s="26" t="n">
        <x:v>5</x:v>
      </x:c>
      <x:c r="I68" s="26" t="n">
        <x:v>6</x:v>
      </x:c>
      <x:c r="J68" s="26" t="n">
        <x:v>1</x:v>
      </x:c>
      <x:c r="K68" s="28" t="n">
        <x:f>H68/E68</x:f>
        <x:v>0.4166666666666667</x:v>
      </x:c>
      <x:c r="L68" s="28" t="n">
        <x:f>J68/E68</x:f>
        <x:v>0.08333333333333333</x:v>
      </x:c>
      <x:c r="M68" s="18" t="str">
        <x:v>中性</x:v>
      </x:c>
    </x:row>
    <x:row r="69">
      <x:c r="A69" s="18" t="str">
        <x:v>无</x:v>
      </x:c>
      <x:c r="B69" s="18" t="str">
        <x:v>操作交互触点</x:v>
      </x:c>
      <x:c r="C69" s="18" t="str">
        <x:v>交互功能</x:v>
      </x:c>
      <x:c r="D69" s="18" t="str">
        <x:v>愉悦与氛围感</x:v>
      </x:c>
      <x:c r="E69" s="26" t="n">
        <x:v>11</x:v>
      </x:c>
      <x:c r="F69" s="28" t="n">
        <x:f>E69/4747</x:f>
        <x:v>0.0023172530018959344</x:v>
      </x:c>
      <x:c r="G69" s="28" t="n">
        <x:f>E69/SUMIF($A$4:$A$256,A69,$E$4:$E$256)</x:f>
        <x:v>0.004678860059549128</x:v>
      </x:c>
      <x:c r="H69" s="26" t="n">
        <x:v>5</x:v>
      </x:c>
      <x:c r="I69" s="26" t="n">
        <x:v>5</x:v>
      </x:c>
      <x:c r="J69" s="26" t="n">
        <x:v>1</x:v>
      </x:c>
      <x:c r="K69" s="28" t="n">
        <x:f>H69/E69</x:f>
        <x:v>0.45454545454545453</x:v>
      </x:c>
      <x:c r="L69" s="28" t="n">
        <x:f>J69/E69</x:f>
        <x:v>0.09090909090909091</x:v>
      </x:c>
      <x:c r="M69" s="18" t="str">
        <x:v>正向</x:v>
      </x:c>
    </x:row>
    <x:row r="70">
      <x:c r="A70" s="18" t="str">
        <x:v>无</x:v>
      </x:c>
      <x:c r="B70" s="18" t="str">
        <x:v>触觉/近身质感触点</x:v>
      </x:c>
      <x:c r="C70" s="18" t="str">
        <x:v>材料质感</x:v>
      </x:c>
      <x:c r="D70" s="18" t="str">
        <x:v>便捷性</x:v>
      </x:c>
      <x:c r="E70" s="26" t="n">
        <x:v>11</x:v>
      </x:c>
      <x:c r="F70" s="28" t="n">
        <x:f>E70/4747</x:f>
        <x:v>0.0023172530018959344</x:v>
      </x:c>
      <x:c r="G70" s="28" t="n">
        <x:f>E70/SUMIF($A$4:$A$256,A70,$E$4:$E$256)</x:f>
        <x:v>0.004678860059549128</x:v>
      </x:c>
      <x:c r="H70" s="26" t="n">
        <x:v>4</x:v>
      </x:c>
      <x:c r="I70" s="26" t="n">
        <x:v>7</x:v>
      </x:c>
      <x:c r="J70" s="26" t="n">
        <x:v>0</x:v>
      </x:c>
      <x:c r="K70" s="28" t="n">
        <x:f>H70/E70</x:f>
        <x:v>0.36363636363636365</x:v>
      </x:c>
      <x:c r="L70" s="28" t="n">
        <x:f>J70/E70</x:f>
        <x:v>0</x:v>
      </x:c>
      <x:c r="M70" s="18" t="str">
        <x:v>中性</x:v>
      </x:c>
    </x:row>
    <x:row r="71">
      <x:c r="A71" s="18" t="str">
        <x:v>无</x:v>
      </x:c>
      <x:c r="B71" s="18" t="str">
        <x:v>视觉触点</x:v>
      </x:c>
      <x:c r="C71" s="18" t="str">
        <x:v>空间氛围</x:v>
      </x:c>
      <x:c r="D71" s="18" t="str">
        <x:v>舒适感</x:v>
      </x:c>
      <x:c r="E71" s="26" t="n">
        <x:v>11</x:v>
      </x:c>
      <x:c r="F71" s="28" t="n">
        <x:f>E71/4747</x:f>
        <x:v>0.0023172530018959344</x:v>
      </x:c>
      <x:c r="G71" s="28" t="n">
        <x:f>E71/SUMIF($A$4:$A$256,A71,$E$4:$E$256)</x:f>
        <x:v>0.004678860059549128</x:v>
      </x:c>
      <x:c r="H71" s="26" t="n">
        <x:v>10</x:v>
      </x:c>
      <x:c r="I71" s="26" t="n">
        <x:v>0</x:v>
      </x:c>
      <x:c r="J71" s="26" t="n">
        <x:v>1</x:v>
      </x:c>
      <x:c r="K71" s="28" t="n">
        <x:f>H71/E71</x:f>
        <x:v>0.9090909090909091</x:v>
      </x:c>
      <x:c r="L71" s="28" t="n">
        <x:f>J71/E71</x:f>
        <x:v>0.09090909090909091</x:v>
      </x:c>
      <x:c r="M71" s="18" t="str">
        <x:v>正向</x:v>
      </x:c>
    </x:row>
    <x:row r="72">
      <x:c r="A72" s="18" t="str">
        <x:v>日常基础照明</x:v>
      </x:c>
      <x:c r="B72" s="18" t="str">
        <x:v>操作交互触点</x:v>
      </x:c>
      <x:c r="C72" s="18" t="str">
        <x:v>交互功能</x:v>
      </x:c>
      <x:c r="D72" s="18" t="str">
        <x:v>美观与价值感</x:v>
      </x:c>
      <x:c r="E72" s="26" t="n">
        <x:v>11</x:v>
      </x:c>
      <x:c r="F72" s="28" t="n">
        <x:f>E72/4747</x:f>
        <x:v>0.0023172530018959344</x:v>
      </x:c>
      <x:c r="G72" s="28" t="n">
        <x:f>E72/SUMIF($A$4:$A$256,A72,$E$4:$E$256)</x:f>
        <x:v>0.010064043915827997</x:v>
      </x:c>
      <x:c r="H72" s="26" t="n">
        <x:v>4</x:v>
      </x:c>
      <x:c r="I72" s="26" t="n">
        <x:v>7</x:v>
      </x:c>
      <x:c r="J72" s="26" t="n">
        <x:v>0</x:v>
      </x:c>
      <x:c r="K72" s="28" t="n">
        <x:f>H72/E72</x:f>
        <x:v>0.36363636363636365</x:v>
      </x:c>
      <x:c r="L72" s="28" t="n">
        <x:f>J72/E72</x:f>
        <x:v>0</x:v>
      </x:c>
      <x:c r="M72" s="18" t="str">
        <x:v>中性</x:v>
      </x:c>
    </x:row>
    <x:row r="73">
      <x:c r="A73" s="18" t="str">
        <x:v>日常基础照明</x:v>
      </x:c>
      <x:c r="B73" s="18" t="str">
        <x:v>视觉触点</x:v>
      </x:c>
      <x:c r="C73" s="18" t="str">
        <x:v>形体造型</x:v>
      </x:c>
      <x:c r="D73" s="18" t="str">
        <x:v>舒适感</x:v>
      </x:c>
      <x:c r="E73" s="26" t="n">
        <x:v>11</x:v>
      </x:c>
      <x:c r="F73" s="28" t="n">
        <x:f>E73/4747</x:f>
        <x:v>0.0023172530018959344</x:v>
      </x:c>
      <x:c r="G73" s="28" t="n">
        <x:f>E73/SUMIF($A$4:$A$256,A73,$E$4:$E$256)</x:f>
        <x:v>0.010064043915827997</x:v>
      </x:c>
      <x:c r="H73" s="26" t="n">
        <x:v>4</x:v>
      </x:c>
      <x:c r="I73" s="26" t="n">
        <x:v>2</x:v>
      </x:c>
      <x:c r="J73" s="26" t="n">
        <x:v>5</x:v>
      </x:c>
      <x:c r="K73" s="28" t="n">
        <x:f>H73/E73</x:f>
        <x:v>0.36363636363636365</x:v>
      </x:c>
      <x:c r="L73" s="28" t="n">
        <x:f>J73/E73</x:f>
        <x:v>0.45454545454545453</x:v>
      </x:c>
      <x:c r="M73" s="18" t="str">
        <x:v>负向</x:v>
      </x:c>
    </x:row>
    <x:row r="74">
      <x:c r="A74" s="18" t="str">
        <x:v>日常基础照明</x:v>
      </x:c>
      <x:c r="B74" s="18" t="str">
        <x:v>视觉触点</x:v>
      </x:c>
      <x:c r="C74" s="18" t="str">
        <x:v>空间氛围</x:v>
      </x:c>
      <x:c r="D74" s="18" t="str">
        <x:v>美观与价值感</x:v>
      </x:c>
      <x:c r="E74" s="26" t="n">
        <x:v>11</x:v>
      </x:c>
      <x:c r="F74" s="28" t="n">
        <x:f>E74/4747</x:f>
        <x:v>0.0023172530018959344</x:v>
      </x:c>
      <x:c r="G74" s="28" t="n">
        <x:f>E74/SUMIF($A$4:$A$256,A74,$E$4:$E$256)</x:f>
        <x:v>0.010064043915827997</x:v>
      </x:c>
      <x:c r="H74" s="26" t="n">
        <x:v>8</x:v>
      </x:c>
      <x:c r="I74" s="26" t="n">
        <x:v>3</x:v>
      </x:c>
      <x:c r="J74" s="26" t="n">
        <x:v>0</x:v>
      </x:c>
      <x:c r="K74" s="28" t="n">
        <x:f>H74/E74</x:f>
        <x:v>0.7272727272727273</x:v>
      </x:c>
      <x:c r="L74" s="28" t="n">
        <x:f>J74/E74</x:f>
        <x:v>0</x:v>
      </x:c>
      <x:c r="M74" s="18" t="str">
        <x:v>正向</x:v>
      </x:c>
    </x:row>
    <x:row r="75">
      <x:c r="A75" s="18" t="str">
        <x:v>日常基础照明</x:v>
      </x:c>
      <x:c r="B75" s="18" t="str">
        <x:v>视觉触点</x:v>
      </x:c>
      <x:c r="C75" s="18" t="str">
        <x:v>空间氛围</x:v>
      </x:c>
      <x:c r="D75" s="18" t="str">
        <x:v>舒适感</x:v>
      </x:c>
      <x:c r="E75" s="26" t="n">
        <x:v>11</x:v>
      </x:c>
      <x:c r="F75" s="28" t="n">
        <x:f>E75/4747</x:f>
        <x:v>0.0023172530018959344</x:v>
      </x:c>
      <x:c r="G75" s="28" t="n">
        <x:f>E75/SUMIF($A$4:$A$256,A75,$E$4:$E$256)</x:f>
        <x:v>0.010064043915827997</x:v>
      </x:c>
      <x:c r="H75" s="26" t="n">
        <x:v>9</x:v>
      </x:c>
      <x:c r="I75" s="26" t="n">
        <x:v>2</x:v>
      </x:c>
      <x:c r="J75" s="26" t="n">
        <x:v>0</x:v>
      </x:c>
      <x:c r="K75" s="28" t="n">
        <x:f>H75/E75</x:f>
        <x:v>0.8181818181818182</x:v>
      </x:c>
      <x:c r="L75" s="28" t="n">
        <x:f>J75/E75</x:f>
        <x:v>0</x:v>
      </x:c>
      <x:c r="M75" s="18" t="str">
        <x:v>正向</x:v>
      </x:c>
    </x:row>
    <x:row r="76">
      <x:c r="A76" s="18" t="str">
        <x:v>智能托管</x:v>
      </x:c>
      <x:c r="B76" s="18" t="str">
        <x:v>操作交互触点</x:v>
      </x:c>
      <x:c r="C76" s="18" t="str">
        <x:v>交互功能</x:v>
      </x:c>
      <x:c r="D76" s="18" t="str">
        <x:v>愉悦与氛围感</x:v>
      </x:c>
      <x:c r="E76" s="26" t="n">
        <x:v>11</x:v>
      </x:c>
      <x:c r="F76" s="28" t="n">
        <x:f>E76/4747</x:f>
        <x:v>0.0023172530018959344</x:v>
      </x:c>
      <x:c r="G76" s="28" t="n">
        <x:f>E76/SUMIF($A$4:$A$256,A76,$E$4:$E$256)</x:f>
        <x:v>0.038869257950530034</x:v>
      </x:c>
      <x:c r="H76" s="26" t="n">
        <x:v>6</x:v>
      </x:c>
      <x:c r="I76" s="26" t="n">
        <x:v>5</x:v>
      </x:c>
      <x:c r="J76" s="26" t="n">
        <x:v>0</x:v>
      </x:c>
      <x:c r="K76" s="28" t="n">
        <x:f>H76/E76</x:f>
        <x:v>0.5454545454545454</x:v>
      </x:c>
      <x:c r="L76" s="28" t="n">
        <x:f>J76/E76</x:f>
        <x:v>0</x:v>
      </x:c>
      <x:c r="M76" s="18" t="str">
        <x:v>正向</x:v>
      </x:c>
    </x:row>
    <x:row r="77">
      <x:c r="A77" s="18" t="str">
        <x:v>睡眠与起居</x:v>
      </x:c>
      <x:c r="B77" s="18" t="str">
        <x:v>视觉触点</x:v>
      </x:c>
      <x:c r="C77" s="18" t="str">
        <x:v>视觉舒适</x:v>
      </x:c>
      <x:c r="D77" s="18" t="str">
        <x:v>舒适感</x:v>
      </x:c>
      <x:c r="E77" s="26" t="n">
        <x:v>11</x:v>
      </x:c>
      <x:c r="F77" s="28" t="n">
        <x:f>E77/4747</x:f>
        <x:v>0.0023172530018959344</x:v>
      </x:c>
      <x:c r="G77" s="28" t="n">
        <x:f>E77/SUMIF($A$4:$A$256,A77,$E$4:$E$256)</x:f>
        <x:v>0.025404157043879907</x:v>
      </x:c>
      <x:c r="H77" s="26" t="n">
        <x:v>4</x:v>
      </x:c>
      <x:c r="I77" s="26" t="n">
        <x:v>6</x:v>
      </x:c>
      <x:c r="J77" s="26" t="n">
        <x:v>1</x:v>
      </x:c>
      <x:c r="K77" s="28" t="n">
        <x:f>H77/E77</x:f>
        <x:v>0.36363636363636365</x:v>
      </x:c>
      <x:c r="L77" s="28" t="n">
        <x:f>J77/E77</x:f>
        <x:v>0.09090909090909091</x:v>
      </x:c>
      <x:c r="M77" s="18" t="str">
        <x:v>中性</x:v>
      </x:c>
    </x:row>
    <x:row r="78">
      <x:c r="A78" s="18" t="str">
        <x:v>学习工作</x:v>
      </x:c>
      <x:c r="B78" s="18" t="str">
        <x:v>视觉触点</x:v>
      </x:c>
      <x:c r="C78" s="18" t="str">
        <x:v>色彩</x:v>
      </x:c>
      <x:c r="D78" s="18" t="str">
        <x:v>美观与价值感</x:v>
      </x:c>
      <x:c r="E78" s="26" t="n">
        <x:v>10</x:v>
      </x:c>
      <x:c r="F78" s="28" t="n">
        <x:f>E78/4747</x:f>
        <x:v>0.0021065936380872128</x:v>
      </x:c>
      <x:c r="G78" s="28" t="n">
        <x:f>E78/SUMIF($A$4:$A$256,A78,$E$4:$E$256)</x:f>
        <x:v>0.03205128205128205</x:v>
      </x:c>
      <x:c r="H78" s="26" t="n">
        <x:v>3</x:v>
      </x:c>
      <x:c r="I78" s="26" t="n">
        <x:v>7</x:v>
      </x:c>
      <x:c r="J78" s="26" t="n">
        <x:v>0</x:v>
      </x:c>
      <x:c r="K78" s="28" t="n">
        <x:f>H78/E78</x:f>
        <x:v>0.3</x:v>
      </x:c>
      <x:c r="L78" s="28" t="n">
        <x:f>J78/E78</x:f>
        <x:v>0</x:v>
      </x:c>
      <x:c r="M78" s="18" t="str">
        <x:v>中性</x:v>
      </x:c>
    </x:row>
    <x:row r="79">
      <x:c r="A79" s="18" t="str">
        <x:v>无</x:v>
      </x:c>
      <x:c r="B79" s="18" t="str">
        <x:v>视觉触点</x:v>
      </x:c>
      <x:c r="C79" s="18" t="str">
        <x:v>色彩</x:v>
      </x:c>
      <x:c r="D79" s="18" t="str">
        <x:v>便捷性</x:v>
      </x:c>
      <x:c r="E79" s="26" t="n">
        <x:v>10</x:v>
      </x:c>
      <x:c r="F79" s="28" t="n">
        <x:f>E79/4747</x:f>
        <x:v>0.0021065936380872128</x:v>
      </x:c>
      <x:c r="G79" s="28" t="n">
        <x:f>E79/SUMIF($A$4:$A$256,A79,$E$4:$E$256)</x:f>
        <x:v>0.004253509145044662</x:v>
      </x:c>
      <x:c r="H79" s="26" t="n">
        <x:v>6</x:v>
      </x:c>
      <x:c r="I79" s="26" t="n">
        <x:v>4</x:v>
      </x:c>
      <x:c r="J79" s="26" t="n">
        <x:v>0</x:v>
      </x:c>
      <x:c r="K79" s="28" t="n">
        <x:f>H79/E79</x:f>
        <x:v>0.6</x:v>
      </x:c>
      <x:c r="L79" s="28" t="n">
        <x:f>J79/E79</x:f>
        <x:v>0</x:v>
      </x:c>
      <x:c r="M79" s="18" t="str">
        <x:v>正向</x:v>
      </x:c>
    </x:row>
    <x:row r="80">
      <x:c r="A80" s="18" t="str">
        <x:v>无</x:v>
      </x:c>
      <x:c r="B80" s="18" t="str">
        <x:v>视觉触点</x:v>
      </x:c>
      <x:c r="C80" s="18" t="str">
        <x:v>视觉舒适</x:v>
      </x:c>
      <x:c r="D80" s="18" t="str">
        <x:v>安全感</x:v>
      </x:c>
      <x:c r="E80" s="26" t="n">
        <x:v>10</x:v>
      </x:c>
      <x:c r="F80" s="28" t="n">
        <x:f>E80/4747</x:f>
        <x:v>0.0021065936380872128</x:v>
      </x:c>
      <x:c r="G80" s="28" t="n">
        <x:f>E80/SUMIF($A$4:$A$256,A80,$E$4:$E$256)</x:f>
        <x:v>0.004253509145044662</x:v>
      </x:c>
      <x:c r="H80" s="26" t="n">
        <x:v>5</x:v>
      </x:c>
      <x:c r="I80" s="26" t="n">
        <x:v>5</x:v>
      </x:c>
      <x:c r="J80" s="26" t="n">
        <x:v>0</x:v>
      </x:c>
      <x:c r="K80" s="28" t="n">
        <x:f>H80/E80</x:f>
        <x:v>0.5</x:v>
      </x:c>
      <x:c r="L80" s="28" t="n">
        <x:f>J80/E80</x:f>
        <x:v>0</x:v>
      </x:c>
      <x:c r="M80" s="18" t="str">
        <x:v>正向</x:v>
      </x:c>
    </x:row>
    <x:row r="81">
      <x:c r="A81" s="18" t="str">
        <x:v>日常基础照明</x:v>
      </x:c>
      <x:c r="B81" s="18" t="str">
        <x:v>操作交互触点</x:v>
      </x:c>
      <x:c r="C81" s="18" t="str">
        <x:v>交互功能</x:v>
      </x:c>
      <x:c r="D81" s="18" t="str">
        <x:v>愉悦与氛围感</x:v>
      </x:c>
      <x:c r="E81" s="26" t="n">
        <x:v>10</x:v>
      </x:c>
      <x:c r="F81" s="28" t="n">
        <x:f>E81/4747</x:f>
        <x:v>0.0021065936380872128</x:v>
      </x:c>
      <x:c r="G81" s="28" t="n">
        <x:f>E81/SUMIF($A$4:$A$256,A81,$E$4:$E$256)</x:f>
        <x:v>0.009149130832570906</x:v>
      </x:c>
      <x:c r="H81" s="26" t="n">
        <x:v>4</x:v>
      </x:c>
      <x:c r="I81" s="26" t="n">
        <x:v>6</x:v>
      </x:c>
      <x:c r="J81" s="26" t="n">
        <x:v>0</x:v>
      </x:c>
      <x:c r="K81" s="28" t="n">
        <x:f>H81/E81</x:f>
        <x:v>0.4</x:v>
      </x:c>
      <x:c r="L81" s="28" t="n">
        <x:f>J81/E81</x:f>
        <x:v>0</x:v>
      </x:c>
      <x:c r="M81" s="18" t="str">
        <x:v>中性</x:v>
      </x:c>
    </x:row>
    <x:row r="82">
      <x:c r="A82" s="18" t="str">
        <x:v>智能托管</x:v>
      </x:c>
      <x:c r="B82" s="18" t="str">
        <x:v>操作交互触点</x:v>
      </x:c>
      <x:c r="C82" s="18" t="str">
        <x:v>交互功能</x:v>
      </x:c>
      <x:c r="D82" s="18" t="str">
        <x:v>美观与价值感</x:v>
      </x:c>
      <x:c r="E82" s="26" t="n">
        <x:v>10</x:v>
      </x:c>
      <x:c r="F82" s="28" t="n">
        <x:f>E82/4747</x:f>
        <x:v>0.0021065936380872128</x:v>
      </x:c>
      <x:c r="G82" s="28" t="n">
        <x:f>E82/SUMIF($A$4:$A$256,A82,$E$4:$E$256)</x:f>
        <x:v>0.0353356890459364</x:v>
      </x:c>
      <x:c r="H82" s="26" t="n">
        <x:v>6</x:v>
      </x:c>
      <x:c r="I82" s="26" t="n">
        <x:v>3</x:v>
      </x:c>
      <x:c r="J82" s="26" t="n">
        <x:v>1</x:v>
      </x:c>
      <x:c r="K82" s="28" t="n">
        <x:f>H82/E82</x:f>
        <x:v>0.6</x:v>
      </x:c>
      <x:c r="L82" s="28" t="n">
        <x:f>J82/E82</x:f>
        <x:v>0.1</x:v>
      </x:c>
      <x:c r="M82" s="18" t="str">
        <x:v>正向</x:v>
      </x:c>
    </x:row>
    <x:row r="83">
      <x:c r="A83" s="18" t="str">
        <x:v>智能托管</x:v>
      </x:c>
      <x:c r="B83" s="18" t="str">
        <x:v>视觉触点</x:v>
      </x:c>
      <x:c r="C83" s="18" t="str">
        <x:v>风格设计</x:v>
      </x:c>
      <x:c r="D83" s="18" t="str">
        <x:v>美观与价值感</x:v>
      </x:c>
      <x:c r="E83" s="26" t="n">
        <x:v>10</x:v>
      </x:c>
      <x:c r="F83" s="28" t="n">
        <x:f>E83/4747</x:f>
        <x:v>0.0021065936380872128</x:v>
      </x:c>
      <x:c r="G83" s="28" t="n">
        <x:f>E83/SUMIF($A$4:$A$256,A83,$E$4:$E$256)</x:f>
        <x:v>0.0353356890459364</x:v>
      </x:c>
      <x:c r="H83" s="26" t="n">
        <x:v>4</x:v>
      </x:c>
      <x:c r="I83" s="26" t="n">
        <x:v>6</x:v>
      </x:c>
      <x:c r="J83" s="26" t="n">
        <x:v>0</x:v>
      </x:c>
      <x:c r="K83" s="28" t="n">
        <x:f>H83/E83</x:f>
        <x:v>0.4</x:v>
      </x:c>
      <x:c r="L83" s="28" t="n">
        <x:f>J83/E83</x:f>
        <x:v>0</x:v>
      </x:c>
      <x:c r="M83" s="18" t="str">
        <x:v>中性</x:v>
      </x:c>
    </x:row>
    <x:row r="84">
      <x:c r="A84" s="18" t="str">
        <x:v>睡眠与起居</x:v>
      </x:c>
      <x:c r="B84" s="18" t="str">
        <x:v>操作交互触点</x:v>
      </x:c>
      <x:c r="C84" s="18" t="str">
        <x:v>交互功能</x:v>
      </x:c>
      <x:c r="D84" s="18" t="str">
        <x:v>无</x:v>
      </x:c>
      <x:c r="E84" s="26" t="n">
        <x:v>10</x:v>
      </x:c>
      <x:c r="F84" s="28" t="n">
        <x:f>E84/4747</x:f>
        <x:v>0.0021065936380872128</x:v>
      </x:c>
      <x:c r="G84" s="28" t="n">
        <x:f>E84/SUMIF($A$4:$A$256,A84,$E$4:$E$256)</x:f>
        <x:v>0.023094688221709007</x:v>
      </x:c>
      <x:c r="H84" s="26" t="n">
        <x:v>0</x:v>
      </x:c>
      <x:c r="I84" s="26" t="n">
        <x:v>10</x:v>
      </x:c>
      <x:c r="J84" s="26" t="n">
        <x:v>0</x:v>
      </x:c>
      <x:c r="K84" s="28" t="n">
        <x:f>H84/E84</x:f>
        <x:v>0</x:v>
      </x:c>
      <x:c r="L84" s="28" t="n">
        <x:f>J84/E84</x:f>
        <x:v>0</x:v>
      </x:c>
      <x:c r="M84" s="18" t="str">
        <x:v>中性</x:v>
      </x:c>
    </x:row>
    <x:row r="85">
      <x:c r="A85" s="18" t="str">
        <x:v>无</x:v>
      </x:c>
      <x:c r="B85" s="18" t="str">
        <x:v>操作交互触点</x:v>
      </x:c>
      <x:c r="C85" s="18" t="str">
        <x:v>交互功能</x:v>
      </x:c>
      <x:c r="D85" s="18" t="str">
        <x:v>无</x:v>
      </x:c>
      <x:c r="E85" s="26" t="n">
        <x:v>9</x:v>
      </x:c>
      <x:c r="F85" s="28" t="n">
        <x:f>E85/4747</x:f>
        <x:v>0.0018959342742784916</x:v>
      </x:c>
      <x:c r="G85" s="28" t="n">
        <x:f>E85/SUMIF($A$4:$A$256,A85,$E$4:$E$256)</x:f>
        <x:v>0.0038281582305401958</x:v>
      </x:c>
      <x:c r="H85" s="26" t="n">
        <x:v>0</x:v>
      </x:c>
      <x:c r="I85" s="26" t="n">
        <x:v>9</x:v>
      </x:c>
      <x:c r="J85" s="26" t="n">
        <x:v>0</x:v>
      </x:c>
      <x:c r="K85" s="28" t="n">
        <x:f>H85/E85</x:f>
        <x:v>0</x:v>
      </x:c>
      <x:c r="L85" s="28" t="n">
        <x:f>J85/E85</x:f>
        <x:v>0</x:v>
      </x:c>
      <x:c r="M85" s="18" t="str">
        <x:v>中性</x:v>
      </x:c>
    </x:row>
    <x:row r="86">
      <x:c r="A86" s="18" t="str">
        <x:v>日常基础照明</x:v>
      </x:c>
      <x:c r="B86" s="18" t="str">
        <x:v>视觉触点</x:v>
      </x:c>
      <x:c r="C86" s="18" t="str">
        <x:v>视觉舒适</x:v>
      </x:c>
      <x:c r="D86" s="18" t="str">
        <x:v>愉悦与氛围感</x:v>
      </x:c>
      <x:c r="E86" s="26" t="n">
        <x:v>9</x:v>
      </x:c>
      <x:c r="F86" s="28" t="n">
        <x:f>E86/4747</x:f>
        <x:v>0.0018959342742784916</x:v>
      </x:c>
      <x:c r="G86" s="28" t="n">
        <x:f>E86/SUMIF($A$4:$A$256,A86,$E$4:$E$256)</x:f>
        <x:v>0.008234217749313814</x:v>
      </x:c>
      <x:c r="H86" s="26" t="n">
        <x:v>6</x:v>
      </x:c>
      <x:c r="I86" s="26" t="n">
        <x:v>3</x:v>
      </x:c>
      <x:c r="J86" s="26" t="n">
        <x:v>0</x:v>
      </x:c>
      <x:c r="K86" s="28" t="n">
        <x:f>H86/E86</x:f>
        <x:v>0.6666666666666666</x:v>
      </x:c>
      <x:c r="L86" s="28" t="n">
        <x:f>J86/E86</x:f>
        <x:v>0</x:v>
      </x:c>
      <x:c r="M86" s="18" t="str">
        <x:v>正向</x:v>
      </x:c>
    </x:row>
    <x:row r="87">
      <x:c r="A87" s="18" t="str">
        <x:v>睡眠与起居</x:v>
      </x:c>
      <x:c r="B87" s="18" t="str">
        <x:v>视觉触点</x:v>
      </x:c>
      <x:c r="C87" s="18" t="str">
        <x:v>风格设计</x:v>
      </x:c>
      <x:c r="D87" s="18" t="str">
        <x:v>美观与价值感</x:v>
      </x:c>
      <x:c r="E87" s="26" t="n">
        <x:v>9</x:v>
      </x:c>
      <x:c r="F87" s="28" t="n">
        <x:f>E87/4747</x:f>
        <x:v>0.0018959342742784916</x:v>
      </x:c>
      <x:c r="G87" s="28" t="n">
        <x:f>E87/SUMIF($A$4:$A$256,A87,$E$4:$E$256)</x:f>
        <x:v>0.020785219399538105</x:v>
      </x:c>
      <x:c r="H87" s="26" t="n">
        <x:v>7</x:v>
      </x:c>
      <x:c r="I87" s="26" t="n">
        <x:v>2</x:v>
      </x:c>
      <x:c r="J87" s="26" t="n">
        <x:v>0</x:v>
      </x:c>
      <x:c r="K87" s="28" t="n">
        <x:f>H87/E87</x:f>
        <x:v>0.7777777777777778</x:v>
      </x:c>
      <x:c r="L87" s="28" t="n">
        <x:f>J87/E87</x:f>
        <x:v>0</x:v>
      </x:c>
      <x:c r="M87" s="18" t="str">
        <x:v>正向</x:v>
      </x:c>
    </x:row>
    <x:row r="88">
      <x:c r="A88" s="18" t="str">
        <x:v>休闲娱乐</x:v>
      </x:c>
      <x:c r="B88" s="18" t="str">
        <x:v>操作交互触点</x:v>
      </x:c>
      <x:c r="C88" s="18" t="str">
        <x:v>交互功能</x:v>
      </x:c>
      <x:c r="D88" s="18" t="str">
        <x:v>无</x:v>
      </x:c>
      <x:c r="E88" s="26" t="n">
        <x:v>8</x:v>
      </x:c>
      <x:c r="F88" s="28" t="n">
        <x:f>E88/4747</x:f>
        <x:v>0.0016852749104697704</x:v>
      </x:c>
      <x:c r="G88" s="28" t="n">
        <x:f>E88/SUMIF($A$4:$A$256,A88,$E$4:$E$256)</x:f>
        <x:v>0.037914691943127965</x:v>
      </x:c>
      <x:c r="H88" s="26" t="n">
        <x:v>0</x:v>
      </x:c>
      <x:c r="I88" s="26" t="n">
        <x:v>8</x:v>
      </x:c>
      <x:c r="J88" s="26" t="n">
        <x:v>0</x:v>
      </x:c>
      <x:c r="K88" s="28" t="n">
        <x:f>H88/E88</x:f>
        <x:v>0</x:v>
      </x:c>
      <x:c r="L88" s="28" t="n">
        <x:f>J88/E88</x:f>
        <x:v>0</x:v>
      </x:c>
      <x:c r="M88" s="18" t="str">
        <x:v>中性</x:v>
      </x:c>
    </x:row>
    <x:row r="89">
      <x:c r="A89" s="18" t="str">
        <x:v>休闲娱乐</x:v>
      </x:c>
      <x:c r="B89" s="18" t="str">
        <x:v>视觉触点</x:v>
      </x:c>
      <x:c r="C89" s="18" t="str">
        <x:v>视觉舒适</x:v>
      </x:c>
      <x:c r="D89" s="18" t="str">
        <x:v>舒适感</x:v>
      </x:c>
      <x:c r="E89" s="26" t="n">
        <x:v>8</x:v>
      </x:c>
      <x:c r="F89" s="28" t="n">
        <x:f>E89/4747</x:f>
        <x:v>0.0016852749104697704</x:v>
      </x:c>
      <x:c r="G89" s="28" t="n">
        <x:f>E89/SUMIF($A$4:$A$256,A89,$E$4:$E$256)</x:f>
        <x:v>0.037914691943127965</x:v>
      </x:c>
      <x:c r="H89" s="26" t="n">
        <x:v>3</x:v>
      </x:c>
      <x:c r="I89" s="26" t="n">
        <x:v>3</x:v>
      </x:c>
      <x:c r="J89" s="26" t="n">
        <x:v>2</x:v>
      </x:c>
      <x:c r="K89" s="28" t="n">
        <x:f>H89/E89</x:f>
        <x:v>0.375</x:v>
      </x:c>
      <x:c r="L89" s="28" t="n">
        <x:f>J89/E89</x:f>
        <x:v>0.25</x:v>
      </x:c>
      <x:c r="M89" s="18" t="str">
        <x:v>正向</x:v>
      </x:c>
    </x:row>
    <x:row r="90">
      <x:c r="A90" s="18" t="str">
        <x:v>学习工作</x:v>
      </x:c>
      <x:c r="B90" s="18" t="str">
        <x:v>操作交互触点</x:v>
      </x:c>
      <x:c r="C90" s="18" t="str">
        <x:v>交互功能</x:v>
      </x:c>
      <x:c r="D90" s="18" t="str">
        <x:v>无</x:v>
      </x:c>
      <x:c r="E90" s="26" t="n">
        <x:v>8</x:v>
      </x:c>
      <x:c r="F90" s="28" t="n">
        <x:f>E90/4747</x:f>
        <x:v>0.0016852749104697704</x:v>
      </x:c>
      <x:c r="G90" s="28" t="n">
        <x:f>E90/SUMIF($A$4:$A$256,A90,$E$4:$E$256)</x:f>
        <x:v>0.02564102564102564</x:v>
      </x:c>
      <x:c r="H90" s="26" t="n">
        <x:v>0</x:v>
      </x:c>
      <x:c r="I90" s="26" t="n">
        <x:v>8</x:v>
      </x:c>
      <x:c r="J90" s="26" t="n">
        <x:v>0</x:v>
      </x:c>
      <x:c r="K90" s="28" t="n">
        <x:f>H90/E90</x:f>
        <x:v>0</x:v>
      </x:c>
      <x:c r="L90" s="28" t="n">
        <x:f>J90/E90</x:f>
        <x:v>0</x:v>
      </x:c>
      <x:c r="M90" s="18" t="str">
        <x:v>中性</x:v>
      </x:c>
    </x:row>
    <x:row r="91">
      <x:c r="A91" s="18" t="str">
        <x:v>学习工作</x:v>
      </x:c>
      <x:c r="B91" s="18" t="str">
        <x:v>视觉触点</x:v>
      </x:c>
      <x:c r="C91" s="18" t="str">
        <x:v>风格设计</x:v>
      </x:c>
      <x:c r="D91" s="18" t="str">
        <x:v>美观与价值感</x:v>
      </x:c>
      <x:c r="E91" s="26" t="n">
        <x:v>8</x:v>
      </x:c>
      <x:c r="F91" s="28" t="n">
        <x:f>E91/4747</x:f>
        <x:v>0.0016852749104697704</x:v>
      </x:c>
      <x:c r="G91" s="28" t="n">
        <x:f>E91/SUMIF($A$4:$A$256,A91,$E$4:$E$256)</x:f>
        <x:v>0.02564102564102564</x:v>
      </x:c>
      <x:c r="H91" s="26" t="n">
        <x:v>4</x:v>
      </x:c>
      <x:c r="I91" s="26" t="n">
        <x:v>3</x:v>
      </x:c>
      <x:c r="J91" s="26" t="n">
        <x:v>1</x:v>
      </x:c>
      <x:c r="K91" s="28" t="n">
        <x:f>H91/E91</x:f>
        <x:v>0.5</x:v>
      </x:c>
      <x:c r="L91" s="28" t="n">
        <x:f>J91/E91</x:f>
        <x:v>0.125</x:v>
      </x:c>
      <x:c r="M91" s="18" t="str">
        <x:v>正向</x:v>
      </x:c>
    </x:row>
    <x:row r="92">
      <x:c r="A92" s="18" t="str">
        <x:v>睡眠与起居</x:v>
      </x:c>
      <x:c r="B92" s="18" t="str">
        <x:v>触觉/近身质感触点</x:v>
      </x:c>
      <x:c r="C92" s="18" t="str">
        <x:v>做工细节</x:v>
      </x:c>
      <x:c r="D92" s="18" t="str">
        <x:v>美观与价值感</x:v>
      </x:c>
      <x:c r="E92" s="26" t="n">
        <x:v>8</x:v>
      </x:c>
      <x:c r="F92" s="28" t="n">
        <x:f>E92/4747</x:f>
        <x:v>0.0016852749104697704</x:v>
      </x:c>
      <x:c r="G92" s="28" t="n">
        <x:f>E92/SUMIF($A$4:$A$256,A92,$E$4:$E$256)</x:f>
        <x:v>0.018475750577367205</x:v>
      </x:c>
      <x:c r="H92" s="26" t="n">
        <x:v>1</x:v>
      </x:c>
      <x:c r="I92" s="26" t="n">
        <x:v>7</x:v>
      </x:c>
      <x:c r="J92" s="26" t="n">
        <x:v>0</x:v>
      </x:c>
      <x:c r="K92" s="28" t="n">
        <x:f>H92/E92</x:f>
        <x:v>0.125</x:v>
      </x:c>
      <x:c r="L92" s="28" t="n">
        <x:f>J92/E92</x:f>
        <x:v>0</x:v>
      </x:c>
      <x:c r="M92" s="18" t="str">
        <x:v>中性</x:v>
      </x:c>
    </x:row>
    <x:row r="93">
      <x:c r="A93" s="18" t="str">
        <x:v>睡眠与起居</x:v>
      </x:c>
      <x:c r="B93" s="18" t="str">
        <x:v>视觉触点</x:v>
      </x:c>
      <x:c r="C93" s="18" t="str">
        <x:v>照明与色调</x:v>
      </x:c>
      <x:c r="D93" s="18" t="str">
        <x:v>美观与价值感</x:v>
      </x:c>
      <x:c r="E93" s="26" t="n">
        <x:v>8</x:v>
      </x:c>
      <x:c r="F93" s="28" t="n">
        <x:f>E93/4747</x:f>
        <x:v>0.0016852749104697704</x:v>
      </x:c>
      <x:c r="G93" s="28" t="n">
        <x:f>E93/SUMIF($A$4:$A$256,A93,$E$4:$E$256)</x:f>
        <x:v>0.018475750577367205</x:v>
      </x:c>
      <x:c r="H93" s="26" t="n">
        <x:v>3</x:v>
      </x:c>
      <x:c r="I93" s="26" t="n">
        <x:v>3</x:v>
      </x:c>
      <x:c r="J93" s="26" t="n">
        <x:v>2</x:v>
      </x:c>
      <x:c r="K93" s="28" t="n">
        <x:f>H93/E93</x:f>
        <x:v>0.375</x:v>
      </x:c>
      <x:c r="L93" s="28" t="n">
        <x:f>J93/E93</x:f>
        <x:v>0.25</x:v>
      </x:c>
      <x:c r="M93" s="18" t="str">
        <x:v>正向</x:v>
      </x:c>
    </x:row>
    <x:row r="94">
      <x:c r="A94" s="18" t="str">
        <x:v>睡眠与起居</x:v>
      </x:c>
      <x:c r="B94" s="18" t="str">
        <x:v>视觉触点</x:v>
      </x:c>
      <x:c r="C94" s="18" t="str">
        <x:v>色彩</x:v>
      </x:c>
      <x:c r="D94" s="18" t="str">
        <x:v>美观与价值感</x:v>
      </x:c>
      <x:c r="E94" s="26" t="n">
        <x:v>8</x:v>
      </x:c>
      <x:c r="F94" s="28" t="n">
        <x:f>E94/4747</x:f>
        <x:v>0.0016852749104697704</x:v>
      </x:c>
      <x:c r="G94" s="28" t="n">
        <x:f>E94/SUMIF($A$4:$A$256,A94,$E$4:$E$256)</x:f>
        <x:v>0.018475750577367205</x:v>
      </x:c>
      <x:c r="H94" s="26" t="n">
        <x:v>1</x:v>
      </x:c>
      <x:c r="I94" s="26" t="n">
        <x:v>7</x:v>
      </x:c>
      <x:c r="J94" s="26" t="n">
        <x:v>0</x:v>
      </x:c>
      <x:c r="K94" s="28" t="n">
        <x:f>H94/E94</x:f>
        <x:v>0.125</x:v>
      </x:c>
      <x:c r="L94" s="28" t="n">
        <x:f>J94/E94</x:f>
        <x:v>0</x:v>
      </x:c>
      <x:c r="M94" s="18" t="str">
        <x:v>中性</x:v>
      </x:c>
    </x:row>
    <x:row r="95">
      <x:c r="A95" s="18" t="str">
        <x:v>学习工作</x:v>
      </x:c>
      <x:c r="B95" s="18" t="str">
        <x:v>操作交互触点</x:v>
      </x:c>
      <x:c r="C95" s="18" t="str">
        <x:v>交互功能</x:v>
      </x:c>
      <x:c r="D95" s="18" t="str">
        <x:v>专注</x:v>
      </x:c>
      <x:c r="E95" s="26" t="n">
        <x:v>7</x:v>
      </x:c>
      <x:c r="F95" s="28" t="n">
        <x:f>E95/4747</x:f>
        <x:v>0.001474615546661049</x:v>
      </x:c>
      <x:c r="G95" s="28" t="n">
        <x:f>E95/SUMIF($A$4:$A$256,A95,$E$4:$E$256)</x:f>
        <x:v>0.022435897435897436</x:v>
      </x:c>
      <x:c r="H95" s="26" t="n">
        <x:v>7</x:v>
      </x:c>
      <x:c r="I95" s="26" t="n">
        <x:v>0</x:v>
      </x:c>
      <x:c r="J95" s="26" t="n">
        <x:v>0</x:v>
      </x:c>
      <x:c r="K95" s="28" t="n">
        <x:f>H95/E95</x:f>
        <x:v>1</x:v>
      </x:c>
      <x:c r="L95" s="28" t="n">
        <x:f>J95/E95</x:f>
        <x:v>0</x:v>
      </x:c>
      <x:c r="M95" s="18" t="str">
        <x:v>正向</x:v>
      </x:c>
    </x:row>
    <x:row r="96">
      <x:c r="A96" s="18" t="str">
        <x:v>学习工作</x:v>
      </x:c>
      <x:c r="B96" s="18" t="str">
        <x:v>视觉触点</x:v>
      </x:c>
      <x:c r="C96" s="18" t="str">
        <x:v>视觉舒适</x:v>
      </x:c>
      <x:c r="D96" s="18" t="str">
        <x:v>专注</x:v>
      </x:c>
      <x:c r="E96" s="26" t="n">
        <x:v>7</x:v>
      </x:c>
      <x:c r="F96" s="28" t="n">
        <x:f>E96/4747</x:f>
        <x:v>0.001474615546661049</x:v>
      </x:c>
      <x:c r="G96" s="28" t="n">
        <x:f>E96/SUMIF($A$4:$A$256,A96,$E$4:$E$256)</x:f>
        <x:v>0.022435897435897436</x:v>
      </x:c>
      <x:c r="H96" s="26" t="n">
        <x:v>6</x:v>
      </x:c>
      <x:c r="I96" s="26" t="n">
        <x:v>1</x:v>
      </x:c>
      <x:c r="J96" s="26" t="n">
        <x:v>0</x:v>
      </x:c>
      <x:c r="K96" s="28" t="n">
        <x:f>H96/E96</x:f>
        <x:v>0.8571428571428571</x:v>
      </x:c>
      <x:c r="L96" s="28" t="n">
        <x:f>J96/E96</x:f>
        <x:v>0</x:v>
      </x:c>
      <x:c r="M96" s="18" t="str">
        <x:v>正向</x:v>
      </x:c>
    </x:row>
    <x:row r="97">
      <x:c r="A97" s="18" t="str">
        <x:v>无</x:v>
      </x:c>
      <x:c r="B97" s="18" t="str">
        <x:v>触觉/近身质感触点</x:v>
      </x:c>
      <x:c r="C97" s="18" t="str">
        <x:v>材料质感</x:v>
      </x:c>
      <x:c r="D97" s="18" t="str">
        <x:v>安全感</x:v>
      </x:c>
      <x:c r="E97" s="26" t="n">
        <x:v>7</x:v>
      </x:c>
      <x:c r="F97" s="28" t="n">
        <x:f>E97/4747</x:f>
        <x:v>0.001474615546661049</x:v>
      </x:c>
      <x:c r="G97" s="28" t="n">
        <x:f>E97/SUMIF($A$4:$A$256,A97,$E$4:$E$256)</x:f>
        <x:v>0.0029774564015312634</x:v>
      </x:c>
      <x:c r="H97" s="26" t="n">
        <x:v>1</x:v>
      </x:c>
      <x:c r="I97" s="26" t="n">
        <x:v>6</x:v>
      </x:c>
      <x:c r="J97" s="26" t="n">
        <x:v>0</x:v>
      </x:c>
      <x:c r="K97" s="28" t="n">
        <x:f>H97/E97</x:f>
        <x:v>0.14285714285714285</x:v>
      </x:c>
      <x:c r="L97" s="28" t="n">
        <x:f>J97/E97</x:f>
        <x:v>0</x:v>
      </x:c>
      <x:c r="M97" s="18" t="str">
        <x:v>中性</x:v>
      </x:c>
    </x:row>
    <x:row r="98">
      <x:c r="A98" s="18" t="str">
        <x:v>无</x:v>
      </x:c>
      <x:c r="B98" s="18" t="str">
        <x:v>视觉触点</x:v>
      </x:c>
      <x:c r="C98" s="18" t="str">
        <x:v>色彩</x:v>
      </x:c>
      <x:c r="D98" s="18" t="str">
        <x:v>舒适感</x:v>
      </x:c>
      <x:c r="E98" s="26" t="n">
        <x:v>7</x:v>
      </x:c>
      <x:c r="F98" s="28" t="n">
        <x:f>E98/4747</x:f>
        <x:v>0.001474615546661049</x:v>
      </x:c>
      <x:c r="G98" s="28" t="n">
        <x:f>E98/SUMIF($A$4:$A$256,A98,$E$4:$E$256)</x:f>
        <x:v>0.0029774564015312634</x:v>
      </x:c>
      <x:c r="H98" s="26" t="n">
        <x:v>5</x:v>
      </x:c>
      <x:c r="I98" s="26" t="n">
        <x:v>2</x:v>
      </x:c>
      <x:c r="J98" s="26" t="n">
        <x:v>0</x:v>
      </x:c>
      <x:c r="K98" s="28" t="n">
        <x:f>H98/E98</x:f>
        <x:v>0.7142857142857143</x:v>
      </x:c>
      <x:c r="L98" s="28" t="n">
        <x:f>J98/E98</x:f>
        <x:v>0</x:v>
      </x:c>
      <x:c r="M98" s="18" t="str">
        <x:v>正向</x:v>
      </x:c>
    </x:row>
    <x:row r="99">
      <x:c r="A99" s="18" t="str">
        <x:v>日常基础照明</x:v>
      </x:c>
      <x:c r="B99" s="18" t="str">
        <x:v>视觉触点</x:v>
      </x:c>
      <x:c r="C99" s="18" t="str">
        <x:v>照明与色调</x:v>
      </x:c>
      <x:c r="D99" s="18" t="str">
        <x:v>无</x:v>
      </x:c>
      <x:c r="E99" s="26" t="n">
        <x:v>7</x:v>
      </x:c>
      <x:c r="F99" s="28" t="n">
        <x:f>E99/4747</x:f>
        <x:v>0.001474615546661049</x:v>
      </x:c>
      <x:c r="G99" s="28" t="n">
        <x:f>E99/SUMIF($A$4:$A$256,A99,$E$4:$E$256)</x:f>
        <x:v>0.006404391582799634</x:v>
      </x:c>
      <x:c r="H99" s="26" t="n">
        <x:v>0</x:v>
      </x:c>
      <x:c r="I99" s="26" t="n">
        <x:v>7</x:v>
      </x:c>
      <x:c r="J99" s="26" t="n">
        <x:v>0</x:v>
      </x:c>
      <x:c r="K99" s="28" t="n">
        <x:f>H99/E99</x:f>
        <x:v>0</x:v>
      </x:c>
      <x:c r="L99" s="28" t="n">
        <x:f>J99/E99</x:f>
        <x:v>0</x:v>
      </x:c>
      <x:c r="M99" s="18" t="str">
        <x:v>中性</x:v>
      </x:c>
    </x:row>
    <x:row r="100">
      <x:c r="A100" s="18" t="str">
        <x:v>智能托管</x:v>
      </x:c>
      <x:c r="B100" s="18" t="str">
        <x:v>视觉触点</x:v>
      </x:c>
      <x:c r="C100" s="18" t="str">
        <x:v>照明与色调</x:v>
      </x:c>
      <x:c r="D100" s="18" t="str">
        <x:v>愉悦与氛围感</x:v>
      </x:c>
      <x:c r="E100" s="26" t="n">
        <x:v>7</x:v>
      </x:c>
      <x:c r="F100" s="28" t="n">
        <x:f>E100/4747</x:f>
        <x:v>0.001474615546661049</x:v>
      </x:c>
      <x:c r="G100" s="28" t="n">
        <x:f>E100/SUMIF($A$4:$A$256,A100,$E$4:$E$256)</x:f>
        <x:v>0.024734982332155476</x:v>
      </x:c>
      <x:c r="H100" s="26" t="n">
        <x:v>4</x:v>
      </x:c>
      <x:c r="I100" s="26" t="n">
        <x:v>3</x:v>
      </x:c>
      <x:c r="J100" s="26" t="n">
        <x:v>0</x:v>
      </x:c>
      <x:c r="K100" s="28" t="n">
        <x:f>H100/E100</x:f>
        <x:v>0.5714285714285714</x:v>
      </x:c>
      <x:c r="L100" s="28" t="n">
        <x:f>J100/E100</x:f>
        <x:v>0</x:v>
      </x:c>
      <x:c r="M100" s="18" t="str">
        <x:v>正向</x:v>
      </x:c>
    </x:row>
    <x:row r="101">
      <x:c r="A101" s="18" t="str">
        <x:v>睡眠与起居</x:v>
      </x:c>
      <x:c r="B101" s="18" t="str">
        <x:v>视觉触点</x:v>
      </x:c>
      <x:c r="C101" s="18" t="str">
        <x:v>空间氛围</x:v>
      </x:c>
      <x:c r="D101" s="18" t="str">
        <x:v>愉悦与氛围感</x:v>
      </x:c>
      <x:c r="E101" s="26" t="n">
        <x:v>7</x:v>
      </x:c>
      <x:c r="F101" s="28" t="n">
        <x:f>E101/4747</x:f>
        <x:v>0.001474615546661049</x:v>
      </x:c>
      <x:c r="G101" s="28" t="n">
        <x:f>E101/SUMIF($A$4:$A$256,A101,$E$4:$E$256)</x:f>
        <x:v>0.016166281755196306</x:v>
      </x:c>
      <x:c r="H101" s="26" t="n">
        <x:v>4</x:v>
      </x:c>
      <x:c r="I101" s="26" t="n">
        <x:v>3</x:v>
      </x:c>
      <x:c r="J101" s="26" t="n">
        <x:v>0</x:v>
      </x:c>
      <x:c r="K101" s="28" t="n">
        <x:f>H101/E101</x:f>
        <x:v>0.5714285714285714</x:v>
      </x:c>
      <x:c r="L101" s="28" t="n">
        <x:f>J101/E101</x:f>
        <x:v>0</x:v>
      </x:c>
      <x:c r="M101" s="18" t="str">
        <x:v>正向</x:v>
      </x:c>
    </x:row>
    <x:row r="102">
      <x:c r="A102" s="18" t="str">
        <x:v>亲子互动陪伴</x:v>
      </x:c>
      <x:c r="B102" s="18" t="str">
        <x:v>操作交互触点</x:v>
      </x:c>
      <x:c r="C102" s="18" t="str">
        <x:v>交互功能</x:v>
      </x:c>
      <x:c r="D102" s="18" t="str">
        <x:v>便捷性</x:v>
      </x:c>
      <x:c r="E102" s="26" t="n">
        <x:v>6</x:v>
      </x:c>
      <x:c r="F102" s="28" t="n">
        <x:f>E102/4747</x:f>
        <x:v>0.0012639561828523278</x:v>
      </x:c>
      <x:c r="G102" s="28" t="n">
        <x:f>E102/SUMIF($A$4:$A$256,A102,$E$4:$E$256)</x:f>
        <x:v>0.09375</x:v>
      </x:c>
      <x:c r="H102" s="26" t="n">
        <x:v>4</x:v>
      </x:c>
      <x:c r="I102" s="26" t="n">
        <x:v>2</x:v>
      </x:c>
      <x:c r="J102" s="26" t="n">
        <x:v>0</x:v>
      </x:c>
      <x:c r="K102" s="28" t="n">
        <x:f>H102/E102</x:f>
        <x:v>0.6666666666666666</x:v>
      </x:c>
      <x:c r="L102" s="28" t="n">
        <x:f>J102/E102</x:f>
        <x:v>0</x:v>
      </x:c>
      <x:c r="M102" s="18" t="str">
        <x:v>正向</x:v>
      </x:c>
    </x:row>
    <x:row r="103">
      <x:c r="A103" s="18" t="str">
        <x:v>休闲娱乐</x:v>
      </x:c>
      <x:c r="B103" s="18" t="str">
        <x:v>视觉触点</x:v>
      </x:c>
      <x:c r="C103" s="18" t="str">
        <x:v>形体造型</x:v>
      </x:c>
      <x:c r="D103" s="18" t="str">
        <x:v>美观与价值感</x:v>
      </x:c>
      <x:c r="E103" s="26" t="n">
        <x:v>6</x:v>
      </x:c>
      <x:c r="F103" s="28" t="n">
        <x:f>E103/4747</x:f>
        <x:v>0.0012639561828523278</x:v>
      </x:c>
      <x:c r="G103" s="28" t="n">
        <x:f>E103/SUMIF($A$4:$A$256,A103,$E$4:$E$256)</x:f>
        <x:v>0.02843601895734597</x:v>
      </x:c>
      <x:c r="H103" s="26" t="n">
        <x:v>3</x:v>
      </x:c>
      <x:c r="I103" s="26" t="n">
        <x:v>3</x:v>
      </x:c>
      <x:c r="J103" s="26" t="n">
        <x:v>0</x:v>
      </x:c>
      <x:c r="K103" s="28" t="n">
        <x:f>H103/E103</x:f>
        <x:v>0.5</x:v>
      </x:c>
      <x:c r="L103" s="28" t="n">
        <x:f>J103/E103</x:f>
        <x:v>0</x:v>
      </x:c>
      <x:c r="M103" s="18" t="str">
        <x:v>正向</x:v>
      </x:c>
    </x:row>
    <x:row r="104">
      <x:c r="A104" s="18" t="str">
        <x:v>休闲娱乐</x:v>
      </x:c>
      <x:c r="B104" s="18" t="str">
        <x:v>视觉触点</x:v>
      </x:c>
      <x:c r="C104" s="18" t="str">
        <x:v>照明与色调</x:v>
      </x:c>
      <x:c r="D104" s="18" t="str">
        <x:v>便捷性</x:v>
      </x:c>
      <x:c r="E104" s="26" t="n">
        <x:v>6</x:v>
      </x:c>
      <x:c r="F104" s="28" t="n">
        <x:f>E104/4747</x:f>
        <x:v>0.0012639561828523278</x:v>
      </x:c>
      <x:c r="G104" s="28" t="n">
        <x:f>E104/SUMIF($A$4:$A$256,A104,$E$4:$E$256)</x:f>
        <x:v>0.02843601895734597</x:v>
      </x:c>
      <x:c r="H104" s="26" t="n">
        <x:v>3</x:v>
      </x:c>
      <x:c r="I104" s="26" t="n">
        <x:v>3</x:v>
      </x:c>
      <x:c r="J104" s="26" t="n">
        <x:v>0</x:v>
      </x:c>
      <x:c r="K104" s="28" t="n">
        <x:f>H104/E104</x:f>
        <x:v>0.5</x:v>
      </x:c>
      <x:c r="L104" s="28" t="n">
        <x:f>J104/E104</x:f>
        <x:v>0</x:v>
      </x:c>
      <x:c r="M104" s="18" t="str">
        <x:v>正向</x:v>
      </x:c>
    </x:row>
    <x:row r="105">
      <x:c r="A105" s="18" t="str">
        <x:v>学习工作</x:v>
      </x:c>
      <x:c r="B105" s="18" t="str">
        <x:v>操作交互触点</x:v>
      </x:c>
      <x:c r="C105" s="18" t="str">
        <x:v>交互功能</x:v>
      </x:c>
      <x:c r="D105" s="18" t="str">
        <x:v>愉悦与氛围感</x:v>
      </x:c>
      <x:c r="E105" s="26" t="n">
        <x:v>6</x:v>
      </x:c>
      <x:c r="F105" s="28" t="n">
        <x:f>E105/4747</x:f>
        <x:v>0.0012639561828523278</x:v>
      </x:c>
      <x:c r="G105" s="28" t="n">
        <x:f>E105/SUMIF($A$4:$A$256,A105,$E$4:$E$256)</x:f>
        <x:v>0.019230769230769232</x:v>
      </x:c>
      <x:c r="H105" s="26" t="n">
        <x:v>5</x:v>
      </x:c>
      <x:c r="I105" s="26" t="n">
        <x:v>1</x:v>
      </x:c>
      <x:c r="J105" s="26" t="n">
        <x:v>0</x:v>
      </x:c>
      <x:c r="K105" s="28" t="n">
        <x:f>H105/E105</x:f>
        <x:v>0.8333333333333334</x:v>
      </x:c>
      <x:c r="L105" s="28" t="n">
        <x:f>J105/E105</x:f>
        <x:v>0</x:v>
      </x:c>
      <x:c r="M105" s="18" t="str">
        <x:v>正向</x:v>
      </x:c>
    </x:row>
    <x:row r="106">
      <x:c r="A106" s="18" t="str">
        <x:v>学习工作</x:v>
      </x:c>
      <x:c r="B106" s="18" t="str">
        <x:v>视觉触点</x:v>
      </x:c>
      <x:c r="C106" s="18" t="str">
        <x:v>照明与色调</x:v>
      </x:c>
      <x:c r="D106" s="18" t="str">
        <x:v>愉悦与氛围感</x:v>
      </x:c>
      <x:c r="E106" s="26" t="n">
        <x:v>6</x:v>
      </x:c>
      <x:c r="F106" s="28" t="n">
        <x:f>E106/4747</x:f>
        <x:v>0.0012639561828523278</x:v>
      </x:c>
      <x:c r="G106" s="28" t="n">
        <x:f>E106/SUMIF($A$4:$A$256,A106,$E$4:$E$256)</x:f>
        <x:v>0.019230769230769232</x:v>
      </x:c>
      <x:c r="H106" s="26" t="n">
        <x:v>5</x:v>
      </x:c>
      <x:c r="I106" s="26" t="n">
        <x:v>1</x:v>
      </x:c>
      <x:c r="J106" s="26" t="n">
        <x:v>0</x:v>
      </x:c>
      <x:c r="K106" s="28" t="n">
        <x:f>H106/E106</x:f>
        <x:v>0.8333333333333334</x:v>
      </x:c>
      <x:c r="L106" s="28" t="n">
        <x:f>J106/E106</x:f>
        <x:v>0</x:v>
      </x:c>
      <x:c r="M106" s="18" t="str">
        <x:v>正向</x:v>
      </x:c>
    </x:row>
    <x:row r="107">
      <x:c r="A107" s="18" t="str">
        <x:v>学习工作</x:v>
      </x:c>
      <x:c r="B107" s="18" t="str">
        <x:v>视觉触点</x:v>
      </x:c>
      <x:c r="C107" s="18" t="str">
        <x:v>空间氛围</x:v>
      </x:c>
      <x:c r="D107" s="18" t="str">
        <x:v>愉悦与氛围感</x:v>
      </x:c>
      <x:c r="E107" s="26" t="n">
        <x:v>6</x:v>
      </x:c>
      <x:c r="F107" s="28" t="n">
        <x:f>E107/4747</x:f>
        <x:v>0.0012639561828523278</x:v>
      </x:c>
      <x:c r="G107" s="28" t="n">
        <x:f>E107/SUMIF($A$4:$A$256,A107,$E$4:$E$256)</x:f>
        <x:v>0.019230769230769232</x:v>
      </x:c>
      <x:c r="H107" s="26" t="n">
        <x:v>4</x:v>
      </x:c>
      <x:c r="I107" s="26" t="n">
        <x:v>2</x:v>
      </x:c>
      <x:c r="J107" s="26" t="n">
        <x:v>0</x:v>
      </x:c>
      <x:c r="K107" s="28" t="n">
        <x:f>H107/E107</x:f>
        <x:v>0.6666666666666666</x:v>
      </x:c>
      <x:c r="L107" s="28" t="n">
        <x:f>J107/E107</x:f>
        <x:v>0</x:v>
      </x:c>
      <x:c r="M107" s="18" t="str">
        <x:v>正向</x:v>
      </x:c>
    </x:row>
    <x:row r="108">
      <x:c r="A108" s="18" t="str">
        <x:v>学习工作</x:v>
      </x:c>
      <x:c r="B108" s="18" t="str">
        <x:v>视觉触点</x:v>
      </x:c>
      <x:c r="C108" s="18" t="str">
        <x:v>视觉舒适</x:v>
      </x:c>
      <x:c r="D108" s="18" t="str">
        <x:v>美观与价值感</x:v>
      </x:c>
      <x:c r="E108" s="26" t="n">
        <x:v>6</x:v>
      </x:c>
      <x:c r="F108" s="28" t="n">
        <x:f>E108/4747</x:f>
        <x:v>0.0012639561828523278</x:v>
      </x:c>
      <x:c r="G108" s="28" t="n">
        <x:f>E108/SUMIF($A$4:$A$256,A108,$E$4:$E$256)</x:f>
        <x:v>0.019230769230769232</x:v>
      </x:c>
      <x:c r="H108" s="26" t="n">
        <x:v>1</x:v>
      </x:c>
      <x:c r="I108" s="26" t="n">
        <x:v>5</x:v>
      </x:c>
      <x:c r="J108" s="26" t="n">
        <x:v>0</x:v>
      </x:c>
      <x:c r="K108" s="28" t="n">
        <x:f>H108/E108</x:f>
        <x:v>0.16666666666666666</x:v>
      </x:c>
      <x:c r="L108" s="28" t="n">
        <x:f>J108/E108</x:f>
        <x:v>0</x:v>
      </x:c>
      <x:c r="M108" s="18" t="str">
        <x:v>中性</x:v>
      </x:c>
    </x:row>
    <x:row r="109">
      <x:c r="A109" s="18" t="str">
        <x:v>无</x:v>
      </x:c>
      <x:c r="B109" s="18" t="str">
        <x:v>视觉触点</x:v>
      </x:c>
      <x:c r="C109" s="18" t="str">
        <x:v>形体造型</x:v>
      </x:c>
      <x:c r="D109" s="18" t="str">
        <x:v>愉悦与氛围感</x:v>
      </x:c>
      <x:c r="E109" s="26" t="n">
        <x:v>6</x:v>
      </x:c>
      <x:c r="F109" s="28" t="n">
        <x:f>E109/4747</x:f>
        <x:v>0.0012639561828523278</x:v>
      </x:c>
      <x:c r="G109" s="28" t="n">
        <x:f>E109/SUMIF($A$4:$A$256,A109,$E$4:$E$256)</x:f>
        <x:v>0.002552105487026797</x:v>
      </x:c>
      <x:c r="H109" s="26" t="n">
        <x:v>3</x:v>
      </x:c>
      <x:c r="I109" s="26" t="n">
        <x:v>3</x:v>
      </x:c>
      <x:c r="J109" s="26" t="n">
        <x:v>0</x:v>
      </x:c>
      <x:c r="K109" s="28" t="n">
        <x:f>H109/E109</x:f>
        <x:v>0.5</x:v>
      </x:c>
      <x:c r="L109" s="28" t="n">
        <x:f>J109/E109</x:f>
        <x:v>0</x:v>
      </x:c>
      <x:c r="M109" s="18" t="str">
        <x:v>正向</x:v>
      </x:c>
    </x:row>
    <x:row r="110">
      <x:c r="A110" s="18" t="str">
        <x:v>无</x:v>
      </x:c>
      <x:c r="B110" s="18" t="str">
        <x:v>视觉触点</x:v>
      </x:c>
      <x:c r="C110" s="18" t="str">
        <x:v>色彩</x:v>
      </x:c>
      <x:c r="D110" s="18" t="str">
        <x:v>愉悦与氛围感</x:v>
      </x:c>
      <x:c r="E110" s="26" t="n">
        <x:v>6</x:v>
      </x:c>
      <x:c r="F110" s="28" t="n">
        <x:f>E110/4747</x:f>
        <x:v>0.0012639561828523278</x:v>
      </x:c>
      <x:c r="G110" s="28" t="n">
        <x:f>E110/SUMIF($A$4:$A$256,A110,$E$4:$E$256)</x:f>
        <x:v>0.002552105487026797</x:v>
      </x:c>
      <x:c r="H110" s="26" t="n">
        <x:v>4</x:v>
      </x:c>
      <x:c r="I110" s="26" t="n">
        <x:v>2</x:v>
      </x:c>
      <x:c r="J110" s="26" t="n">
        <x:v>0</x:v>
      </x:c>
      <x:c r="K110" s="28" t="n">
        <x:f>H110/E110</x:f>
        <x:v>0.6666666666666666</x:v>
      </x:c>
      <x:c r="L110" s="28" t="n">
        <x:f>J110/E110</x:f>
        <x:v>0</x:v>
      </x:c>
      <x:c r="M110" s="18" t="str">
        <x:v>正向</x:v>
      </x:c>
    </x:row>
    <x:row r="111">
      <x:c r="A111" s="18" t="str">
        <x:v>日常基础照明</x:v>
      </x:c>
      <x:c r="B111" s="18" t="str">
        <x:v>触觉/近身质感触点</x:v>
      </x:c>
      <x:c r="C111" s="18" t="str">
        <x:v>材料质感</x:v>
      </x:c>
      <x:c r="D111" s="18" t="str">
        <x:v>便捷性</x:v>
      </x:c>
      <x:c r="E111" s="26" t="n">
        <x:v>6</x:v>
      </x:c>
      <x:c r="F111" s="28" t="n">
        <x:f>E111/4747</x:f>
        <x:v>0.0012639561828523278</x:v>
      </x:c>
      <x:c r="G111" s="28" t="n">
        <x:f>E111/SUMIF($A$4:$A$256,A111,$E$4:$E$256)</x:f>
        <x:v>0.0054894784995425435</x:v>
      </x:c>
      <x:c r="H111" s="26" t="n">
        <x:v>4</x:v>
      </x:c>
      <x:c r="I111" s="26" t="n">
        <x:v>2</x:v>
      </x:c>
      <x:c r="J111" s="26" t="n">
        <x:v>0</x:v>
      </x:c>
      <x:c r="K111" s="28" t="n">
        <x:f>H111/E111</x:f>
        <x:v>0.6666666666666666</x:v>
      </x:c>
      <x:c r="L111" s="28" t="n">
        <x:f>J111/E111</x:f>
        <x:v>0</x:v>
      </x:c>
      <x:c r="M111" s="18" t="str">
        <x:v>正向</x:v>
      </x:c>
    </x:row>
    <x:row r="112">
      <x:c r="A112" s="18" t="str">
        <x:v>日常基础照明</x:v>
      </x:c>
      <x:c r="B112" s="18" t="str">
        <x:v>触觉/近身质感触点</x:v>
      </x:c>
      <x:c r="C112" s="18" t="str">
        <x:v>材料质感</x:v>
      </x:c>
      <x:c r="D112" s="18" t="str">
        <x:v>舒适感</x:v>
      </x:c>
      <x:c r="E112" s="26" t="n">
        <x:v>6</x:v>
      </x:c>
      <x:c r="F112" s="28" t="n">
        <x:f>E112/4747</x:f>
        <x:v>0.0012639561828523278</x:v>
      </x:c>
      <x:c r="G112" s="28" t="n">
        <x:f>E112/SUMIF($A$4:$A$256,A112,$E$4:$E$256)</x:f>
        <x:v>0.0054894784995425435</x:v>
      </x:c>
      <x:c r="H112" s="26" t="n">
        <x:v>4</x:v>
      </x:c>
      <x:c r="I112" s="26" t="n">
        <x:v>1</x:v>
      </x:c>
      <x:c r="J112" s="26" t="n">
        <x:v>1</x:v>
      </x:c>
      <x:c r="K112" s="28" t="n">
        <x:f>H112/E112</x:f>
        <x:v>0.6666666666666666</x:v>
      </x:c>
      <x:c r="L112" s="28" t="n">
        <x:f>J112/E112</x:f>
        <x:v>0.16666666666666666</x:v>
      </x:c>
      <x:c r="M112" s="18" t="str">
        <x:v>正向</x:v>
      </x:c>
    </x:row>
    <x:row r="113">
      <x:c r="A113" s="18" t="str">
        <x:v>日常基础照明</x:v>
      </x:c>
      <x:c r="B113" s="18" t="str">
        <x:v>视觉触点</x:v>
      </x:c>
      <x:c r="C113" s="18" t="str">
        <x:v>风格设计</x:v>
      </x:c>
      <x:c r="D113" s="18" t="str">
        <x:v>愉悦与氛围感</x:v>
      </x:c>
      <x:c r="E113" s="26" t="n">
        <x:v>6</x:v>
      </x:c>
      <x:c r="F113" s="28" t="n">
        <x:f>E113/4747</x:f>
        <x:v>0.0012639561828523278</x:v>
      </x:c>
      <x:c r="G113" s="28" t="n">
        <x:f>E113/SUMIF($A$4:$A$256,A113,$E$4:$E$256)</x:f>
        <x:v>0.0054894784995425435</x:v>
      </x:c>
      <x:c r="H113" s="26" t="n">
        <x:v>4</x:v>
      </x:c>
      <x:c r="I113" s="26" t="n">
        <x:v>2</x:v>
      </x:c>
      <x:c r="J113" s="26" t="n">
        <x:v>0</x:v>
      </x:c>
      <x:c r="K113" s="28" t="n">
        <x:f>H113/E113</x:f>
        <x:v>0.6666666666666666</x:v>
      </x:c>
      <x:c r="L113" s="28" t="n">
        <x:f>J113/E113</x:f>
        <x:v>0</x:v>
      </x:c>
      <x:c r="M113" s="18" t="str">
        <x:v>正向</x:v>
      </x:c>
    </x:row>
    <x:row r="114">
      <x:c r="A114" s="18" t="str">
        <x:v>智能托管</x:v>
      </x:c>
      <x:c r="B114" s="18" t="str">
        <x:v>视觉触点</x:v>
      </x:c>
      <x:c r="C114" s="18" t="str">
        <x:v>照明与色调</x:v>
      </x:c>
      <x:c r="D114" s="18" t="str">
        <x:v>美观与价值感</x:v>
      </x:c>
      <x:c r="E114" s="26" t="n">
        <x:v>6</x:v>
      </x:c>
      <x:c r="F114" s="28" t="n">
        <x:f>E114/4747</x:f>
        <x:v>0.0012639561828523278</x:v>
      </x:c>
      <x:c r="G114" s="28" t="n">
        <x:f>E114/SUMIF($A$4:$A$256,A114,$E$4:$E$256)</x:f>
        <x:v>0.02120141342756184</x:v>
      </x:c>
      <x:c r="H114" s="26" t="n">
        <x:v>1</x:v>
      </x:c>
      <x:c r="I114" s="26" t="n">
        <x:v>5</x:v>
      </x:c>
      <x:c r="J114" s="26" t="n">
        <x:v>0</x:v>
      </x:c>
      <x:c r="K114" s="28" t="n">
        <x:f>H114/E114</x:f>
        <x:v>0.16666666666666666</x:v>
      </x:c>
      <x:c r="L114" s="28" t="n">
        <x:f>J114/E114</x:f>
        <x:v>0</x:v>
      </x:c>
      <x:c r="M114" s="18" t="str">
        <x:v>中性</x:v>
      </x:c>
    </x:row>
    <x:row r="115">
      <x:c r="A115" s="18" t="str">
        <x:v>睡眠与起居</x:v>
      </x:c>
      <x:c r="B115" s="18" t="str">
        <x:v>视觉触点</x:v>
      </x:c>
      <x:c r="C115" s="18" t="str">
        <x:v>形体造型</x:v>
      </x:c>
      <x:c r="D115" s="18" t="str">
        <x:v>舒适感</x:v>
      </x:c>
      <x:c r="E115" s="26" t="n">
        <x:v>6</x:v>
      </x:c>
      <x:c r="F115" s="28" t="n">
        <x:f>E115/4747</x:f>
        <x:v>0.0012639561828523278</x:v>
      </x:c>
      <x:c r="G115" s="28" t="n">
        <x:f>E115/SUMIF($A$4:$A$256,A115,$E$4:$E$256)</x:f>
        <x:v>0.013856812933025405</x:v>
      </x:c>
      <x:c r="H115" s="26" t="n">
        <x:v>6</x:v>
      </x:c>
      <x:c r="I115" s="26" t="n">
        <x:v>0</x:v>
      </x:c>
      <x:c r="J115" s="26" t="n">
        <x:v>0</x:v>
      </x:c>
      <x:c r="K115" s="28" t="n">
        <x:f>H115/E115</x:f>
        <x:v>1</x:v>
      </x:c>
      <x:c r="L115" s="28" t="n">
        <x:f>J115/E115</x:f>
        <x:v>0</x:v>
      </x:c>
      <x:c r="M115" s="18" t="str">
        <x:v>正向</x:v>
      </x:c>
    </x:row>
    <x:row r="116">
      <x:c r="A116" s="18" t="str">
        <x:v>休闲娱乐</x:v>
      </x:c>
      <x:c r="B116" s="18" t="str">
        <x:v>操作交互触点</x:v>
      </x:c>
      <x:c r="C116" s="18" t="str">
        <x:v>交互功能</x:v>
      </x:c>
      <x:c r="D116" s="18" t="str">
        <x:v>舒适感</x:v>
      </x:c>
      <x:c r="E116" s="26" t="n">
        <x:v>5</x:v>
      </x:c>
      <x:c r="F116" s="28" t="n">
        <x:f>E116/4747</x:f>
        <x:v>0.0010532968190436064</x:v>
      </x:c>
      <x:c r="G116" s="28" t="n">
        <x:f>E116/SUMIF($A$4:$A$256,A116,$E$4:$E$256)</x:f>
        <x:v>0.023696682464454975</x:v>
      </x:c>
      <x:c r="H116" s="26" t="n">
        <x:v>4</x:v>
      </x:c>
      <x:c r="I116" s="26" t="n">
        <x:v>1</x:v>
      </x:c>
      <x:c r="J116" s="26" t="n">
        <x:v>0</x:v>
      </x:c>
      <x:c r="K116" s="28" t="n">
        <x:f>H116/E116</x:f>
        <x:v>0.8</x:v>
      </x:c>
      <x:c r="L116" s="28" t="n">
        <x:f>J116/E116</x:f>
        <x:v>0</x:v>
      </x:c>
      <x:c r="M116" s="18" t="str">
        <x:v>正向</x:v>
      </x:c>
    </x:row>
    <x:row r="117">
      <x:c r="A117" s="18" t="str">
        <x:v>学习工作</x:v>
      </x:c>
      <x:c r="B117" s="18" t="str">
        <x:v>视觉触点</x:v>
      </x:c>
      <x:c r="C117" s="18" t="str">
        <x:v>形体造型</x:v>
      </x:c>
      <x:c r="D117" s="18" t="str">
        <x:v>美观与价值感</x:v>
      </x:c>
      <x:c r="E117" s="26" t="n">
        <x:v>5</x:v>
      </x:c>
      <x:c r="F117" s="28" t="n">
        <x:f>E117/4747</x:f>
        <x:v>0.0010532968190436064</x:v>
      </x:c>
      <x:c r="G117" s="28" t="n">
        <x:f>E117/SUMIF($A$4:$A$256,A117,$E$4:$E$256)</x:f>
        <x:v>0.016025641025641024</x:v>
      </x:c>
      <x:c r="H117" s="26" t="n">
        <x:v>4</x:v>
      </x:c>
      <x:c r="I117" s="26" t="n">
        <x:v>1</x:v>
      </x:c>
      <x:c r="J117" s="26" t="n">
        <x:v>0</x:v>
      </x:c>
      <x:c r="K117" s="28" t="n">
        <x:f>H117/E117</x:f>
        <x:v>0.8</x:v>
      </x:c>
      <x:c r="L117" s="28" t="n">
        <x:f>J117/E117</x:f>
        <x:v>0</x:v>
      </x:c>
      <x:c r="M117" s="18" t="str">
        <x:v>正向</x:v>
      </x:c>
    </x:row>
    <x:row r="118">
      <x:c r="A118" s="18" t="str">
        <x:v>无</x:v>
      </x:c>
      <x:c r="B118" s="18" t="str">
        <x:v>触觉/近身质感触点</x:v>
      </x:c>
      <x:c r="C118" s="18" t="str">
        <x:v>材料质感</x:v>
      </x:c>
      <x:c r="D118" s="18" t="str">
        <x:v>愉悦与氛围感</x:v>
      </x:c>
      <x:c r="E118" s="26" t="n">
        <x:v>5</x:v>
      </x:c>
      <x:c r="F118" s="28" t="n">
        <x:f>E118/4747</x:f>
        <x:v>0.0010532968190436064</x:v>
      </x:c>
      <x:c r="G118" s="28" t="n">
        <x:f>E118/SUMIF($A$4:$A$256,A118,$E$4:$E$256)</x:f>
        <x:v>0.002126754572522331</x:v>
      </x:c>
      <x:c r="H118" s="26" t="n">
        <x:v>4</x:v>
      </x:c>
      <x:c r="I118" s="26" t="n">
        <x:v>1</x:v>
      </x:c>
      <x:c r="J118" s="26" t="n">
        <x:v>0</x:v>
      </x:c>
      <x:c r="K118" s="28" t="n">
        <x:f>H118/E118</x:f>
        <x:v>0.8</x:v>
      </x:c>
      <x:c r="L118" s="28" t="n">
        <x:f>J118/E118</x:f>
        <x:v>0</x:v>
      </x:c>
      <x:c r="M118" s="18" t="str">
        <x:v>正向</x:v>
      </x:c>
    </x:row>
    <x:row r="119">
      <x:c r="A119" s="18" t="str">
        <x:v>日常基础照明</x:v>
      </x:c>
      <x:c r="B119" s="18" t="str">
        <x:v>视觉触点</x:v>
      </x:c>
      <x:c r="C119" s="18" t="str">
        <x:v>形体造型</x:v>
      </x:c>
      <x:c r="D119" s="18" t="str">
        <x:v>便捷性</x:v>
      </x:c>
      <x:c r="E119" s="26" t="n">
        <x:v>5</x:v>
      </x:c>
      <x:c r="F119" s="28" t="n">
        <x:f>E119/4747</x:f>
        <x:v>0.0010532968190436064</x:v>
      </x:c>
      <x:c r="G119" s="28" t="n">
        <x:f>E119/SUMIF($A$4:$A$256,A119,$E$4:$E$256)</x:f>
        <x:v>0.004574565416285453</x:v>
      </x:c>
      <x:c r="H119" s="26" t="n">
        <x:v>4</x:v>
      </x:c>
      <x:c r="I119" s="26" t="n">
        <x:v>1</x:v>
      </x:c>
      <x:c r="J119" s="26" t="n">
        <x:v>0</x:v>
      </x:c>
      <x:c r="K119" s="28" t="n">
        <x:f>H119/E119</x:f>
        <x:v>0.8</x:v>
      </x:c>
      <x:c r="L119" s="28" t="n">
        <x:f>J119/E119</x:f>
        <x:v>0</x:v>
      </x:c>
      <x:c r="M119" s="18" t="str">
        <x:v>正向</x:v>
      </x:c>
    </x:row>
    <x:row r="120">
      <x:c r="A120" s="18" t="str">
        <x:v>日常基础照明</x:v>
      </x:c>
      <x:c r="B120" s="18" t="str">
        <x:v>触觉/近身质感触点</x:v>
      </x:c>
      <x:c r="C120" s="18" t="str">
        <x:v>材料质感</x:v>
      </x:c>
      <x:c r="D120" s="18" t="str">
        <x:v>安全感</x:v>
      </x:c>
      <x:c r="E120" s="26" t="n">
        <x:v>5</x:v>
      </x:c>
      <x:c r="F120" s="28" t="n">
        <x:f>E120/4747</x:f>
        <x:v>0.0010532968190436064</x:v>
      </x:c>
      <x:c r="G120" s="28" t="n">
        <x:f>E120/SUMIF($A$4:$A$256,A120,$E$4:$E$256)</x:f>
        <x:v>0.004574565416285453</x:v>
      </x:c>
      <x:c r="H120" s="26" t="n">
        <x:v>1</x:v>
      </x:c>
      <x:c r="I120" s="26" t="n">
        <x:v>3</x:v>
      </x:c>
      <x:c r="J120" s="26" t="n">
        <x:v>1</x:v>
      </x:c>
      <x:c r="K120" s="28" t="n">
        <x:f>H120/E120</x:f>
        <x:v>0.2</x:v>
      </x:c>
      <x:c r="L120" s="28" t="n">
        <x:f>J120/E120</x:f>
        <x:v>0.2</x:v>
      </x:c>
      <x:c r="M120" s="18" t="str">
        <x:v>中性</x:v>
      </x:c>
    </x:row>
    <x:row r="121">
      <x:c r="A121" s="18" t="str">
        <x:v>日常基础照明</x:v>
      </x:c>
      <x:c r="B121" s="18" t="str">
        <x:v>视觉触点</x:v>
      </x:c>
      <x:c r="C121" s="18" t="str">
        <x:v>照明与色调</x:v>
      </x:c>
      <x:c r="D121" s="18" t="str">
        <x:v>安全感</x:v>
      </x:c>
      <x:c r="E121" s="26" t="n">
        <x:v>5</x:v>
      </x:c>
      <x:c r="F121" s="28" t="n">
        <x:f>E121/4747</x:f>
        <x:v>0.0010532968190436064</x:v>
      </x:c>
      <x:c r="G121" s="28" t="n">
        <x:f>E121/SUMIF($A$4:$A$256,A121,$E$4:$E$256)</x:f>
        <x:v>0.004574565416285453</x:v>
      </x:c>
      <x:c r="H121" s="26" t="n">
        <x:v>4</x:v>
      </x:c>
      <x:c r="I121" s="26" t="n">
        <x:v>1</x:v>
      </x:c>
      <x:c r="J121" s="26" t="n">
        <x:v>0</x:v>
      </x:c>
      <x:c r="K121" s="28" t="n">
        <x:f>H121/E121</x:f>
        <x:v>0.8</x:v>
      </x:c>
      <x:c r="L121" s="28" t="n">
        <x:f>J121/E121</x:f>
        <x:v>0</x:v>
      </x:c>
      <x:c r="M121" s="18" t="str">
        <x:v>正向</x:v>
      </x:c>
    </x:row>
    <x:row r="122">
      <x:c r="A122" s="18" t="str">
        <x:v>智能托管</x:v>
      </x:c>
      <x:c r="B122" s="18" t="str">
        <x:v>视觉触点</x:v>
      </x:c>
      <x:c r="C122" s="18" t="str">
        <x:v>空间氛围</x:v>
      </x:c>
      <x:c r="D122" s="18" t="str">
        <x:v>愉悦与氛围感</x:v>
      </x:c>
      <x:c r="E122" s="26" t="n">
        <x:v>5</x:v>
      </x:c>
      <x:c r="F122" s="28" t="n">
        <x:f>E122/4747</x:f>
        <x:v>0.0010532968190436064</x:v>
      </x:c>
      <x:c r="G122" s="28" t="n">
        <x:f>E122/SUMIF($A$4:$A$256,A122,$E$4:$E$256)</x:f>
        <x:v>0.0176678445229682</x:v>
      </x:c>
      <x:c r="H122" s="26" t="n">
        <x:v>1</x:v>
      </x:c>
      <x:c r="I122" s="26" t="n">
        <x:v>4</x:v>
      </x:c>
      <x:c r="J122" s="26" t="n">
        <x:v>0</x:v>
      </x:c>
      <x:c r="K122" s="28" t="n">
        <x:f>H122/E122</x:f>
        <x:v>0.2</x:v>
      </x:c>
      <x:c r="L122" s="28" t="n">
        <x:f>J122/E122</x:f>
        <x:v>0</x:v>
      </x:c>
      <x:c r="M122" s="18" t="str">
        <x:v>中性</x:v>
      </x:c>
    </x:row>
    <x:row r="123">
      <x:c r="A123" s="18" t="str">
        <x:v>智能托管</x:v>
      </x:c>
      <x:c r="B123" s="18" t="str">
        <x:v>视觉触点</x:v>
      </x:c>
      <x:c r="C123" s="18" t="str">
        <x:v>色彩</x:v>
      </x:c>
      <x:c r="D123" s="18" t="str">
        <x:v>便捷性</x:v>
      </x:c>
      <x:c r="E123" s="26" t="n">
        <x:v>5</x:v>
      </x:c>
      <x:c r="F123" s="28" t="n">
        <x:f>E123/4747</x:f>
        <x:v>0.0010532968190436064</x:v>
      </x:c>
      <x:c r="G123" s="28" t="n">
        <x:f>E123/SUMIF($A$4:$A$256,A123,$E$4:$E$256)</x:f>
        <x:v>0.0176678445229682</x:v>
      </x:c>
      <x:c r="H123" s="26" t="n">
        <x:v>3</x:v>
      </x:c>
      <x:c r="I123" s="26" t="n">
        <x:v>2</x:v>
      </x:c>
      <x:c r="J123" s="26" t="n">
        <x:v>0</x:v>
      </x:c>
      <x:c r="K123" s="28" t="n">
        <x:f>H123/E123</x:f>
        <x:v>0.6</x:v>
      </x:c>
      <x:c r="L123" s="28" t="n">
        <x:f>J123/E123</x:f>
        <x:v>0</x:v>
      </x:c>
      <x:c r="M123" s="18" t="str">
        <x:v>正向</x:v>
      </x:c>
    </x:row>
    <x:row r="124">
      <x:c r="A124" s="18" t="str">
        <x:v>智能托管</x:v>
      </x:c>
      <x:c r="B124" s="18" t="str">
        <x:v>视觉触点</x:v>
      </x:c>
      <x:c r="C124" s="18" t="str">
        <x:v>色彩</x:v>
      </x:c>
      <x:c r="D124" s="18" t="str">
        <x:v>美观与价值感</x:v>
      </x:c>
      <x:c r="E124" s="26" t="n">
        <x:v>5</x:v>
      </x:c>
      <x:c r="F124" s="28" t="n">
        <x:f>E124/4747</x:f>
        <x:v>0.0010532968190436064</x:v>
      </x:c>
      <x:c r="G124" s="28" t="n">
        <x:f>E124/SUMIF($A$4:$A$256,A124,$E$4:$E$256)</x:f>
        <x:v>0.0176678445229682</x:v>
      </x:c>
      <x:c r="H124" s="26" t="n">
        <x:v>2</x:v>
      </x:c>
      <x:c r="I124" s="26" t="n">
        <x:v>3</x:v>
      </x:c>
      <x:c r="J124" s="26" t="n">
        <x:v>0</x:v>
      </x:c>
      <x:c r="K124" s="28" t="n">
        <x:f>H124/E124</x:f>
        <x:v>0.4</x:v>
      </x:c>
      <x:c r="L124" s="28" t="n">
        <x:f>J124/E124</x:f>
        <x:v>0</x:v>
      </x:c>
      <x:c r="M124" s="18" t="str">
        <x:v>中性</x:v>
      </x:c>
    </x:row>
    <x:row r="125">
      <x:c r="A125" s="18" t="str">
        <x:v>睡眠与起居</x:v>
      </x:c>
      <x:c r="B125" s="18" t="str">
        <x:v>触觉/近身质感触点</x:v>
      </x:c>
      <x:c r="C125" s="18" t="str">
        <x:v>材料质感</x:v>
      </x:c>
      <x:c r="D125" s="18" t="str">
        <x:v>美观与价值感</x:v>
      </x:c>
      <x:c r="E125" s="26" t="n">
        <x:v>5</x:v>
      </x:c>
      <x:c r="F125" s="28" t="n">
        <x:f>E125/4747</x:f>
        <x:v>0.0010532968190436064</x:v>
      </x:c>
      <x:c r="G125" s="28" t="n">
        <x:f>E125/SUMIF($A$4:$A$256,A125,$E$4:$E$256)</x:f>
        <x:v>0.011547344110854504</x:v>
      </x:c>
      <x:c r="H125" s="26" t="n">
        <x:v>2</x:v>
      </x:c>
      <x:c r="I125" s="26" t="n">
        <x:v>2</x:v>
      </x:c>
      <x:c r="J125" s="26" t="n">
        <x:v>1</x:v>
      </x:c>
      <x:c r="K125" s="28" t="n">
        <x:f>H125/E125</x:f>
        <x:v>0.4</x:v>
      </x:c>
      <x:c r="L125" s="28" t="n">
        <x:f>J125/E125</x:f>
        <x:v>0.2</x:v>
      </x:c>
      <x:c r="M125" s="18" t="str">
        <x:v>正向</x:v>
      </x:c>
    </x:row>
    <x:row r="126">
      <x:c r="A126" s="18" t="str">
        <x:v>亲子互动陪伴</x:v>
      </x:c>
      <x:c r="B126" s="18" t="str">
        <x:v>视觉触点</x:v>
      </x:c>
      <x:c r="C126" s="18" t="str">
        <x:v>视觉舒适</x:v>
      </x:c>
      <x:c r="D126" s="18" t="str">
        <x:v>安全感</x:v>
      </x:c>
      <x:c r="E126" s="26" t="n">
        <x:v>4</x:v>
      </x:c>
      <x:c r="F126" s="28" t="n">
        <x:f>E126/4747</x:f>
        <x:v>0.0008426374552348852</x:v>
      </x:c>
      <x:c r="G126" s="28" t="n">
        <x:f>E126/SUMIF($A$4:$A$256,A126,$E$4:$E$256)</x:f>
        <x:v>0.0625</x:v>
      </x:c>
      <x:c r="H126" s="26" t="n">
        <x:v>2</x:v>
      </x:c>
      <x:c r="I126" s="26" t="n">
        <x:v>2</x:v>
      </x:c>
      <x:c r="J126" s="26" t="n">
        <x:v>0</x:v>
      </x:c>
      <x:c r="K126" s="28" t="n">
        <x:f>H126/E126</x:f>
        <x:v>0.5</x:v>
      </x:c>
      <x:c r="L126" s="28" t="n">
        <x:f>J126/E126</x:f>
        <x:v>0</x:v>
      </x:c>
      <x:c r="M126" s="18" t="str">
        <x:v>正向</x:v>
      </x:c>
    </x:row>
    <x:row r="127">
      <x:c r="A127" s="18" t="str">
        <x:v>休闲娱乐</x:v>
      </x:c>
      <x:c r="B127" s="18" t="str">
        <x:v>操作交互触点</x:v>
      </x:c>
      <x:c r="C127" s="18" t="str">
        <x:v>交互功能</x:v>
      </x:c>
      <x:c r="D127" s="18" t="str">
        <x:v>美观与价值感</x:v>
      </x:c>
      <x:c r="E127" s="26" t="n">
        <x:v>4</x:v>
      </x:c>
      <x:c r="F127" s="28" t="n">
        <x:f>E127/4747</x:f>
        <x:v>0.0008426374552348852</x:v>
      </x:c>
      <x:c r="G127" s="28" t="n">
        <x:f>E127/SUMIF($A$4:$A$256,A127,$E$4:$E$256)</x:f>
        <x:v>0.018957345971563982</x:v>
      </x:c>
      <x:c r="H127" s="26" t="n">
        <x:v>3</x:v>
      </x:c>
      <x:c r="I127" s="26" t="n">
        <x:v>1</x:v>
      </x:c>
      <x:c r="J127" s="26" t="n">
        <x:v>0</x:v>
      </x:c>
      <x:c r="K127" s="28" t="n">
        <x:f>H127/E127</x:f>
        <x:v>0.75</x:v>
      </x:c>
      <x:c r="L127" s="28" t="n">
        <x:f>J127/E127</x:f>
        <x:v>0</x:v>
      </x:c>
      <x:c r="M127" s="18" t="str">
        <x:v>正向</x:v>
      </x:c>
    </x:row>
    <x:row r="128">
      <x:c r="A128" s="18" t="str">
        <x:v>休闲娱乐</x:v>
      </x:c>
      <x:c r="B128" s="18" t="str">
        <x:v>视觉触点</x:v>
      </x:c>
      <x:c r="C128" s="18" t="str">
        <x:v>空间氛围</x:v>
      </x:c>
      <x:c r="D128" s="18" t="str">
        <x:v>舒适感</x:v>
      </x:c>
      <x:c r="E128" s="26" t="n">
        <x:v>4</x:v>
      </x:c>
      <x:c r="F128" s="28" t="n">
        <x:f>E128/4747</x:f>
        <x:v>0.0008426374552348852</x:v>
      </x:c>
      <x:c r="G128" s="28" t="n">
        <x:f>E128/SUMIF($A$4:$A$256,A128,$E$4:$E$256)</x:f>
        <x:v>0.018957345971563982</x:v>
      </x:c>
      <x:c r="H128" s="26" t="n">
        <x:v>4</x:v>
      </x:c>
      <x:c r="I128" s="26" t="n">
        <x:v>0</x:v>
      </x:c>
      <x:c r="J128" s="26" t="n">
        <x:v>0</x:v>
      </x:c>
      <x:c r="K128" s="28" t="n">
        <x:f>H128/E128</x:f>
        <x:v>1</x:v>
      </x:c>
      <x:c r="L128" s="28" t="n">
        <x:f>J128/E128</x:f>
        <x:v>0</x:v>
      </x:c>
      <x:c r="M128" s="18" t="str">
        <x:v>正向</x:v>
      </x:c>
    </x:row>
    <x:row r="129">
      <x:c r="A129" s="18" t="str">
        <x:v>学习工作</x:v>
      </x:c>
      <x:c r="B129" s="18" t="str">
        <x:v>视觉触点</x:v>
      </x:c>
      <x:c r="C129" s="18" t="str">
        <x:v>照明与色调</x:v>
      </x:c>
      <x:c r="D129" s="18" t="str">
        <x:v>美观与价值感</x:v>
      </x:c>
      <x:c r="E129" s="26" t="n">
        <x:v>4</x:v>
      </x:c>
      <x:c r="F129" s="28" t="n">
        <x:f>E129/4747</x:f>
        <x:v>0.0008426374552348852</x:v>
      </x:c>
      <x:c r="G129" s="28" t="n">
        <x:f>E129/SUMIF($A$4:$A$256,A129,$E$4:$E$256)</x:f>
        <x:v>0.01282051282051282</x:v>
      </x:c>
      <x:c r="H129" s="26" t="n">
        <x:v>1</x:v>
      </x:c>
      <x:c r="I129" s="26" t="n">
        <x:v>3</x:v>
      </x:c>
      <x:c r="J129" s="26" t="n">
        <x:v>0</x:v>
      </x:c>
      <x:c r="K129" s="28" t="n">
        <x:f>H129/E129</x:f>
        <x:v>0.25</x:v>
      </x:c>
      <x:c r="L129" s="28" t="n">
        <x:f>J129/E129</x:f>
        <x:v>0</x:v>
      </x:c>
      <x:c r="M129" s="18" t="str">
        <x:v>中性</x:v>
      </x:c>
    </x:row>
    <x:row r="130">
      <x:c r="A130" s="18" t="str">
        <x:v>学习工作</x:v>
      </x:c>
      <x:c r="B130" s="18" t="str">
        <x:v>视觉触点</x:v>
      </x:c>
      <x:c r="C130" s="18" t="str">
        <x:v>空间氛围</x:v>
      </x:c>
      <x:c r="D130" s="18" t="str">
        <x:v>专注</x:v>
      </x:c>
      <x:c r="E130" s="26" t="n">
        <x:v>4</x:v>
      </x:c>
      <x:c r="F130" s="28" t="n">
        <x:f>E130/4747</x:f>
        <x:v>0.0008426374552348852</x:v>
      </x:c>
      <x:c r="G130" s="28" t="n">
        <x:f>E130/SUMIF($A$4:$A$256,A130,$E$4:$E$256)</x:f>
        <x:v>0.01282051282051282</x:v>
      </x:c>
      <x:c r="H130" s="26" t="n">
        <x:v>4</x:v>
      </x:c>
      <x:c r="I130" s="26" t="n">
        <x:v>0</x:v>
      </x:c>
      <x:c r="J130" s="26" t="n">
        <x:v>0</x:v>
      </x:c>
      <x:c r="K130" s="28" t="n">
        <x:f>H130/E130</x:f>
        <x:v>1</x:v>
      </x:c>
      <x:c r="L130" s="28" t="n">
        <x:f>J130/E130</x:f>
        <x:v>0</x:v>
      </x:c>
      <x:c r="M130" s="18" t="str">
        <x:v>正向</x:v>
      </x:c>
    </x:row>
    <x:row r="131">
      <x:c r="A131" s="18" t="str">
        <x:v>无</x:v>
      </x:c>
      <x:c r="B131" s="18" t="str">
        <x:v>视觉触点</x:v>
      </x:c>
      <x:c r="C131" s="18" t="str">
        <x:v>形体造型</x:v>
      </x:c>
      <x:c r="D131" s="18" t="str">
        <x:v>安全感</x:v>
      </x:c>
      <x:c r="E131" s="26" t="n">
        <x:v>4</x:v>
      </x:c>
      <x:c r="F131" s="28" t="n">
        <x:f>E131/4747</x:f>
        <x:v>0.0008426374552348852</x:v>
      </x:c>
      <x:c r="G131" s="28" t="n">
        <x:f>E131/SUMIF($A$4:$A$256,A131,$E$4:$E$256)</x:f>
        <x:v>0.0017014036580178648</x:v>
      </x:c>
      <x:c r="H131" s="26" t="n">
        <x:v>2</x:v>
      </x:c>
      <x:c r="I131" s="26" t="n">
        <x:v>2</x:v>
      </x:c>
      <x:c r="J131" s="26" t="n">
        <x:v>0</x:v>
      </x:c>
      <x:c r="K131" s="28" t="n">
        <x:f>H131/E131</x:f>
        <x:v>0.5</x:v>
      </x:c>
      <x:c r="L131" s="28" t="n">
        <x:f>J131/E131</x:f>
        <x:v>0</x:v>
      </x:c>
      <x:c r="M131" s="18" t="str">
        <x:v>正向</x:v>
      </x:c>
    </x:row>
    <x:row r="132">
      <x:c r="A132" s="18" t="str">
        <x:v>无</x:v>
      </x:c>
      <x:c r="B132" s="18" t="str">
        <x:v>视觉触点</x:v>
      </x:c>
      <x:c r="C132" s="18" t="str">
        <x:v>照明与色调</x:v>
      </x:c>
      <x:c r="D132" s="18" t="str">
        <x:v>无</x:v>
      </x:c>
      <x:c r="E132" s="26" t="n">
        <x:v>4</x:v>
      </x:c>
      <x:c r="F132" s="28" t="n">
        <x:f>E132/4747</x:f>
        <x:v>0.0008426374552348852</x:v>
      </x:c>
      <x:c r="G132" s="28" t="n">
        <x:f>E132/SUMIF($A$4:$A$256,A132,$E$4:$E$256)</x:f>
        <x:v>0.0017014036580178648</x:v>
      </x:c>
      <x:c r="H132" s="26" t="n">
        <x:v>0</x:v>
      </x:c>
      <x:c r="I132" s="26" t="n">
        <x:v>4</x:v>
      </x:c>
      <x:c r="J132" s="26" t="n">
        <x:v>0</x:v>
      </x:c>
      <x:c r="K132" s="28" t="n">
        <x:f>H132/E132</x:f>
        <x:v>0</x:v>
      </x:c>
      <x:c r="L132" s="28" t="n">
        <x:f>J132/E132</x:f>
        <x:v>0</x:v>
      </x:c>
      <x:c r="M132" s="18" t="str">
        <x:v>中性</x:v>
      </x:c>
    </x:row>
    <x:row r="133">
      <x:c r="A133" s="18" t="str">
        <x:v>无</x:v>
      </x:c>
      <x:c r="B133" s="18" t="str">
        <x:v>视觉触点</x:v>
      </x:c>
      <x:c r="C133" s="18" t="str">
        <x:v>视觉舒适</x:v>
      </x:c>
      <x:c r="D133" s="18" t="str">
        <x:v>便捷性</x:v>
      </x:c>
      <x:c r="E133" s="26" t="n">
        <x:v>4</x:v>
      </x:c>
      <x:c r="F133" s="28" t="n">
        <x:f>E133/4747</x:f>
        <x:v>0.0008426374552348852</x:v>
      </x:c>
      <x:c r="G133" s="28" t="n">
        <x:f>E133/SUMIF($A$4:$A$256,A133,$E$4:$E$256)</x:f>
        <x:v>0.0017014036580178648</x:v>
      </x:c>
      <x:c r="H133" s="26" t="n">
        <x:v>1</x:v>
      </x:c>
      <x:c r="I133" s="26" t="n">
        <x:v>0</x:v>
      </x:c>
      <x:c r="J133" s="26" t="n">
        <x:v>3</x:v>
      </x:c>
      <x:c r="K133" s="28" t="n">
        <x:f>H133/E133</x:f>
        <x:v>0.25</x:v>
      </x:c>
      <x:c r="L133" s="28" t="n">
        <x:f>J133/E133</x:f>
        <x:v>0.75</x:v>
      </x:c>
      <x:c r="M133" s="18" t="str">
        <x:v>负向</x:v>
      </x:c>
    </x:row>
    <x:row r="134">
      <x:c r="A134" s="18" t="str">
        <x:v>无</x:v>
      </x:c>
      <x:c r="B134" s="18" t="str">
        <x:v>视觉触点</x:v>
      </x:c>
      <x:c r="C134" s="18" t="str">
        <x:v>视觉舒适</x:v>
      </x:c>
      <x:c r="D134" s="18" t="str">
        <x:v>愉悦与氛围感</x:v>
      </x:c>
      <x:c r="E134" s="26" t="n">
        <x:v>4</x:v>
      </x:c>
      <x:c r="F134" s="28" t="n">
        <x:f>E134/4747</x:f>
        <x:v>0.0008426374552348852</x:v>
      </x:c>
      <x:c r="G134" s="28" t="n">
        <x:f>E134/SUMIF($A$4:$A$256,A134,$E$4:$E$256)</x:f>
        <x:v>0.0017014036580178648</x:v>
      </x:c>
      <x:c r="H134" s="26" t="n">
        <x:v>3</x:v>
      </x:c>
      <x:c r="I134" s="26" t="n">
        <x:v>0</x:v>
      </x:c>
      <x:c r="J134" s="26" t="n">
        <x:v>1</x:v>
      </x:c>
      <x:c r="K134" s="28" t="n">
        <x:f>H134/E134</x:f>
        <x:v>0.75</x:v>
      </x:c>
      <x:c r="L134" s="28" t="n">
        <x:f>J134/E134</x:f>
        <x:v>0.25</x:v>
      </x:c>
      <x:c r="M134" s="18" t="str">
        <x:v>正向</x:v>
      </x:c>
    </x:row>
    <x:row r="135">
      <x:c r="A135" s="18" t="str">
        <x:v>日常基础照明</x:v>
      </x:c>
      <x:c r="B135" s="18" t="str">
        <x:v>触觉/近身质感触点</x:v>
      </x:c>
      <x:c r="C135" s="18" t="str">
        <x:v>做工细节</x:v>
      </x:c>
      <x:c r="D135" s="18" t="str">
        <x:v>舒适感</x:v>
      </x:c>
      <x:c r="E135" s="26" t="n">
        <x:v>4</x:v>
      </x:c>
      <x:c r="F135" s="28" t="n">
        <x:f>E135/4747</x:f>
        <x:v>0.0008426374552348852</x:v>
      </x:c>
      <x:c r="G135" s="28" t="n">
        <x:f>E135/SUMIF($A$4:$A$256,A135,$E$4:$E$256)</x:f>
        <x:v>0.0036596523330283625</x:v>
      </x:c>
      <x:c r="H135" s="26" t="n">
        <x:v>4</x:v>
      </x:c>
      <x:c r="I135" s="26" t="n">
        <x:v>0</x:v>
      </x:c>
      <x:c r="J135" s="26" t="n">
        <x:v>0</x:v>
      </x:c>
      <x:c r="K135" s="28" t="n">
        <x:f>H135/E135</x:f>
        <x:v>1</x:v>
      </x:c>
      <x:c r="L135" s="28" t="n">
        <x:f>J135/E135</x:f>
        <x:v>0</x:v>
      </x:c>
      <x:c r="M135" s="18" t="str">
        <x:v>正向</x:v>
      </x:c>
    </x:row>
    <x:row r="136">
      <x:c r="A136" s="18" t="str">
        <x:v>日常基础照明</x:v>
      </x:c>
      <x:c r="B136" s="18" t="str">
        <x:v>视觉触点</x:v>
      </x:c>
      <x:c r="C136" s="18" t="str">
        <x:v>色彩</x:v>
      </x:c>
      <x:c r="D136" s="18" t="str">
        <x:v>舒适感</x:v>
      </x:c>
      <x:c r="E136" s="26" t="n">
        <x:v>4</x:v>
      </x:c>
      <x:c r="F136" s="28" t="n">
        <x:f>E136/4747</x:f>
        <x:v>0.0008426374552348852</x:v>
      </x:c>
      <x:c r="G136" s="28" t="n">
        <x:f>E136/SUMIF($A$4:$A$256,A136,$E$4:$E$256)</x:f>
        <x:v>0.0036596523330283625</x:v>
      </x:c>
      <x:c r="H136" s="26" t="n">
        <x:v>4</x:v>
      </x:c>
      <x:c r="I136" s="26" t="n">
        <x:v>0</x:v>
      </x:c>
      <x:c r="J136" s="26" t="n">
        <x:v>0</x:v>
      </x:c>
      <x:c r="K136" s="28" t="n">
        <x:f>H136/E136</x:f>
        <x:v>1</x:v>
      </x:c>
      <x:c r="L136" s="28" t="n">
        <x:f>J136/E136</x:f>
        <x:v>0</x:v>
      </x:c>
      <x:c r="M136" s="18" t="str">
        <x:v>正向</x:v>
      </x:c>
    </x:row>
    <x:row r="137">
      <x:c r="A137" s="18" t="str">
        <x:v>睡眠与起居</x:v>
      </x:c>
      <x:c r="B137" s="18" t="str">
        <x:v>视觉触点</x:v>
      </x:c>
      <x:c r="C137" s="18" t="str">
        <x:v>照明与色调</x:v>
      </x:c>
      <x:c r="D137" s="18" t="str">
        <x:v>无</x:v>
      </x:c>
      <x:c r="E137" s="26" t="n">
        <x:v>4</x:v>
      </x:c>
      <x:c r="F137" s="28" t="n">
        <x:f>E137/4747</x:f>
        <x:v>0.0008426374552348852</x:v>
      </x:c>
      <x:c r="G137" s="28" t="n">
        <x:f>E137/SUMIF($A$4:$A$256,A137,$E$4:$E$256)</x:f>
        <x:v>0.009237875288683603</x:v>
      </x:c>
      <x:c r="H137" s="26" t="n">
        <x:v>0</x:v>
      </x:c>
      <x:c r="I137" s="26" t="n">
        <x:v>4</x:v>
      </x:c>
      <x:c r="J137" s="26" t="n">
        <x:v>0</x:v>
      </x:c>
      <x:c r="K137" s="28" t="n">
        <x:f>H137/E137</x:f>
        <x:v>0</x:v>
      </x:c>
      <x:c r="L137" s="28" t="n">
        <x:f>J137/E137</x:f>
        <x:v>0</x:v>
      </x:c>
      <x:c r="M137" s="18" t="str">
        <x:v>中性</x:v>
      </x:c>
    </x:row>
    <x:row r="138">
      <x:c r="A138" s="18" t="str">
        <x:v>睡眠与起居</x:v>
      </x:c>
      <x:c r="B138" s="18" t="str">
        <x:v>视觉触点</x:v>
      </x:c>
      <x:c r="C138" s="18" t="str">
        <x:v>色彩</x:v>
      </x:c>
      <x:c r="D138" s="18" t="str">
        <x:v>舒适感</x:v>
      </x:c>
      <x:c r="E138" s="26" t="n">
        <x:v>4</x:v>
      </x:c>
      <x:c r="F138" s="28" t="n">
        <x:f>E138/4747</x:f>
        <x:v>0.0008426374552348852</x:v>
      </x:c>
      <x:c r="G138" s="28" t="n">
        <x:f>E138/SUMIF($A$4:$A$256,A138,$E$4:$E$256)</x:f>
        <x:v>0.009237875288683603</x:v>
      </x:c>
      <x:c r="H138" s="26" t="n">
        <x:v>3</x:v>
      </x:c>
      <x:c r="I138" s="26" t="n">
        <x:v>1</x:v>
      </x:c>
      <x:c r="J138" s="26" t="n">
        <x:v>0</x:v>
      </x:c>
      <x:c r="K138" s="28" t="n">
        <x:f>H138/E138</x:f>
        <x:v>0.75</x:v>
      </x:c>
      <x:c r="L138" s="28" t="n">
        <x:f>J138/E138</x:f>
        <x:v>0</x:v>
      </x:c>
      <x:c r="M138" s="18" t="str">
        <x:v>正向</x:v>
      </x:c>
    </x:row>
    <x:row r="139">
      <x:c r="A139" s="18" t="str">
        <x:v>睡眠与起居</x:v>
      </x:c>
      <x:c r="B139" s="18" t="str">
        <x:v>视觉触点</x:v>
      </x:c>
      <x:c r="C139" s="18" t="str">
        <x:v>视觉舒适</x:v>
      </x:c>
      <x:c r="D139" s="18" t="str">
        <x:v>愉悦与氛围感</x:v>
      </x:c>
      <x:c r="E139" s="26" t="n">
        <x:v>4</x:v>
      </x:c>
      <x:c r="F139" s="28" t="n">
        <x:f>E139/4747</x:f>
        <x:v>0.0008426374552348852</x:v>
      </x:c>
      <x:c r="G139" s="28" t="n">
        <x:f>E139/SUMIF($A$4:$A$256,A139,$E$4:$E$256)</x:f>
        <x:v>0.009237875288683603</x:v>
      </x:c>
      <x:c r="H139" s="26" t="n">
        <x:v>4</x:v>
      </x:c>
      <x:c r="I139" s="26" t="n">
        <x:v>0</x:v>
      </x:c>
      <x:c r="J139" s="26" t="n">
        <x:v>0</x:v>
      </x:c>
      <x:c r="K139" s="28" t="n">
        <x:f>H139/E139</x:f>
        <x:v>1</x:v>
      </x:c>
      <x:c r="L139" s="28" t="n">
        <x:f>J139/E139</x:f>
        <x:v>0</x:v>
      </x:c>
      <x:c r="M139" s="18" t="str">
        <x:v>正向</x:v>
      </x:c>
    </x:row>
    <x:row r="140">
      <x:c r="A140" s="18" t="str">
        <x:v>亲子互动陪伴</x:v>
      </x:c>
      <x:c r="B140" s="18" t="str">
        <x:v>操作交互触点</x:v>
      </x:c>
      <x:c r="C140" s="18" t="str">
        <x:v>交互功能</x:v>
      </x:c>
      <x:c r="D140" s="18" t="str">
        <x:v>愉悦与氛围感</x:v>
      </x:c>
      <x:c r="E140" s="26" t="n">
        <x:v>3</x:v>
      </x:c>
      <x:c r="F140" s="28" t="n">
        <x:f>E140/4747</x:f>
        <x:v>0.0006319780914261639</x:v>
      </x:c>
      <x:c r="G140" s="28" t="n">
        <x:f>E140/SUMIF($A$4:$A$256,A140,$E$4:$E$256)</x:f>
        <x:v>0.046875</x:v>
      </x:c>
      <x:c r="H140" s="26" t="n">
        <x:v>1</x:v>
      </x:c>
      <x:c r="I140" s="26" t="n">
        <x:v>2</x:v>
      </x:c>
      <x:c r="J140" s="26" t="n">
        <x:v>0</x:v>
      </x:c>
      <x:c r="K140" s="28" t="n">
        <x:f>H140/E140</x:f>
        <x:v>0.3333333333333333</x:v>
      </x:c>
      <x:c r="L140" s="28" t="n">
        <x:f>J140/E140</x:f>
        <x:v>0</x:v>
      </x:c>
      <x:c r="M140" s="18" t="str">
        <x:v>中性</x:v>
      </x:c>
    </x:row>
    <x:row r="141">
      <x:c r="A141" s="18" t="str">
        <x:v>亲子互动陪伴</x:v>
      </x:c>
      <x:c r="B141" s="18" t="str">
        <x:v>视觉触点</x:v>
      </x:c>
      <x:c r="C141" s="18" t="str">
        <x:v>色彩</x:v>
      </x:c>
      <x:c r="D141" s="18" t="str">
        <x:v>美观与价值感</x:v>
      </x:c>
      <x:c r="E141" s="26" t="n">
        <x:v>3</x:v>
      </x:c>
      <x:c r="F141" s="28" t="n">
        <x:f>E141/4747</x:f>
        <x:v>0.0006319780914261639</x:v>
      </x:c>
      <x:c r="G141" s="28" t="n">
        <x:f>E141/SUMIF($A$4:$A$256,A141,$E$4:$E$256)</x:f>
        <x:v>0.046875</x:v>
      </x:c>
      <x:c r="H141" s="26" t="n">
        <x:v>0</x:v>
      </x:c>
      <x:c r="I141" s="26" t="n">
        <x:v>3</x:v>
      </x:c>
      <x:c r="J141" s="26" t="n">
        <x:v>0</x:v>
      </x:c>
      <x:c r="K141" s="28" t="n">
        <x:f>H141/E141</x:f>
        <x:v>0</x:v>
      </x:c>
      <x:c r="L141" s="28" t="n">
        <x:f>J141/E141</x:f>
        <x:v>0</x:v>
      </x:c>
      <x:c r="M141" s="18" t="str">
        <x:v>中性</x:v>
      </x:c>
    </x:row>
    <x:row r="142">
      <x:c r="A142" s="18" t="str">
        <x:v>亲子互动陪伴</x:v>
      </x:c>
      <x:c r="B142" s="18" t="str">
        <x:v>视觉触点</x:v>
      </x:c>
      <x:c r="C142" s="18" t="str">
        <x:v>视觉舒适</x:v>
      </x:c>
      <x:c r="D142" s="18" t="str">
        <x:v>舒适感</x:v>
      </x:c>
      <x:c r="E142" s="26" t="n">
        <x:v>3</x:v>
      </x:c>
      <x:c r="F142" s="28" t="n">
        <x:f>E142/4747</x:f>
        <x:v>0.0006319780914261639</x:v>
      </x:c>
      <x:c r="G142" s="28" t="n">
        <x:f>E142/SUMIF($A$4:$A$256,A142,$E$4:$E$256)</x:f>
        <x:v>0.046875</x:v>
      </x:c>
      <x:c r="H142" s="26" t="n">
        <x:v>2</x:v>
      </x:c>
      <x:c r="I142" s="26" t="n">
        <x:v>0</x:v>
      </x:c>
      <x:c r="J142" s="26" t="n">
        <x:v>1</x:v>
      </x:c>
      <x:c r="K142" s="28" t="n">
        <x:f>H142/E142</x:f>
        <x:v>0.6666666666666666</x:v>
      </x:c>
      <x:c r="L142" s="28" t="n">
        <x:f>J142/E142</x:f>
        <x:v>0.3333333333333333</x:v>
      </x:c>
      <x:c r="M142" s="18" t="str">
        <x:v>正向</x:v>
      </x:c>
    </x:row>
    <x:row r="143">
      <x:c r="A143" s="18" t="str">
        <x:v>亲子互动陪伴</x:v>
      </x:c>
      <x:c r="B143" s="18" t="str">
        <x:v>视觉触点</x:v>
      </x:c>
      <x:c r="C143" s="18" t="str">
        <x:v>风格设计</x:v>
      </x:c>
      <x:c r="D143" s="18" t="str">
        <x:v>美观与价值感</x:v>
      </x:c>
      <x:c r="E143" s="26" t="n">
        <x:v>3</x:v>
      </x:c>
      <x:c r="F143" s="28" t="n">
        <x:f>E143/4747</x:f>
        <x:v>0.0006319780914261639</x:v>
      </x:c>
      <x:c r="G143" s="28" t="n">
        <x:f>E143/SUMIF($A$4:$A$256,A143,$E$4:$E$256)</x:f>
        <x:v>0.046875</x:v>
      </x:c>
      <x:c r="H143" s="26" t="n">
        <x:v>1</x:v>
      </x:c>
      <x:c r="I143" s="26" t="n">
        <x:v>2</x:v>
      </x:c>
      <x:c r="J143" s="26" t="n">
        <x:v>0</x:v>
      </x:c>
      <x:c r="K143" s="28" t="n">
        <x:f>H143/E143</x:f>
        <x:v>0.3333333333333333</x:v>
      </x:c>
      <x:c r="L143" s="28" t="n">
        <x:f>J143/E143</x:f>
        <x:v>0</x:v>
      </x:c>
      <x:c r="M143" s="18" t="str">
        <x:v>中性</x:v>
      </x:c>
    </x:row>
    <x:row r="144">
      <x:c r="A144" s="18" t="str">
        <x:v>休闲娱乐</x:v>
      </x:c>
      <x:c r="B144" s="18" t="str">
        <x:v>触觉/近身质感触点</x:v>
      </x:c>
      <x:c r="C144" s="18" t="str">
        <x:v>材料质感</x:v>
      </x:c>
      <x:c r="D144" s="18" t="str">
        <x:v>美观与价值感</x:v>
      </x:c>
      <x:c r="E144" s="26" t="n">
        <x:v>3</x:v>
      </x:c>
      <x:c r="F144" s="28" t="n">
        <x:f>E144/4747</x:f>
        <x:v>0.0006319780914261639</x:v>
      </x:c>
      <x:c r="G144" s="28" t="n">
        <x:f>E144/SUMIF($A$4:$A$256,A144,$E$4:$E$256)</x:f>
        <x:v>0.014218009478672985</x:v>
      </x:c>
      <x:c r="H144" s="26" t="n">
        <x:v>1</x:v>
      </x:c>
      <x:c r="I144" s="26" t="n">
        <x:v>2</x:v>
      </x:c>
      <x:c r="J144" s="26" t="n">
        <x:v>0</x:v>
      </x:c>
      <x:c r="K144" s="28" t="n">
        <x:f>H144/E144</x:f>
        <x:v>0.3333333333333333</x:v>
      </x:c>
      <x:c r="L144" s="28" t="n">
        <x:f>J144/E144</x:f>
        <x:v>0</x:v>
      </x:c>
      <x:c r="M144" s="18" t="str">
        <x:v>中性</x:v>
      </x:c>
    </x:row>
    <x:row r="145">
      <x:c r="A145" s="18" t="str">
        <x:v>休闲娱乐</x:v>
      </x:c>
      <x:c r="B145" s="18" t="str">
        <x:v>视觉触点</x:v>
      </x:c>
      <x:c r="C145" s="18" t="str">
        <x:v>照明与色调</x:v>
      </x:c>
      <x:c r="D145" s="18" t="str">
        <x:v>无</x:v>
      </x:c>
      <x:c r="E145" s="26" t="n">
        <x:v>3</x:v>
      </x:c>
      <x:c r="F145" s="28" t="n">
        <x:f>E145/4747</x:f>
        <x:v>0.0006319780914261639</x:v>
      </x:c>
      <x:c r="G145" s="28" t="n">
        <x:f>E145/SUMIF($A$4:$A$256,A145,$E$4:$E$256)</x:f>
        <x:v>0.014218009478672985</x:v>
      </x:c>
      <x:c r="H145" s="26" t="n">
        <x:v>0</x:v>
      </x:c>
      <x:c r="I145" s="26" t="n">
        <x:v>3</x:v>
      </x:c>
      <x:c r="J145" s="26" t="n">
        <x:v>0</x:v>
      </x:c>
      <x:c r="K145" s="28" t="n">
        <x:f>H145/E145</x:f>
        <x:v>0</x:v>
      </x:c>
      <x:c r="L145" s="28" t="n">
        <x:f>J145/E145</x:f>
        <x:v>0</x:v>
      </x:c>
      <x:c r="M145" s="18" t="str">
        <x:v>中性</x:v>
      </x:c>
    </x:row>
    <x:row r="146">
      <x:c r="A146" s="18" t="str">
        <x:v>学习工作</x:v>
      </x:c>
      <x:c r="B146" s="18" t="str">
        <x:v>视觉触点</x:v>
      </x:c>
      <x:c r="C146" s="18" t="str">
        <x:v>色彩</x:v>
      </x:c>
      <x:c r="D146" s="18" t="str">
        <x:v>专注</x:v>
      </x:c>
      <x:c r="E146" s="26" t="n">
        <x:v>3</x:v>
      </x:c>
      <x:c r="F146" s="28" t="n">
        <x:f>E146/4747</x:f>
        <x:v>0.0006319780914261639</x:v>
      </x:c>
      <x:c r="G146" s="28" t="n">
        <x:f>E146/SUMIF($A$4:$A$256,A146,$E$4:$E$256)</x:f>
        <x:v>0.009615384615384616</x:v>
      </x:c>
      <x:c r="H146" s="26" t="n">
        <x:v>2</x:v>
      </x:c>
      <x:c r="I146" s="26" t="n">
        <x:v>1</x:v>
      </x:c>
      <x:c r="J146" s="26" t="n">
        <x:v>0</x:v>
      </x:c>
      <x:c r="K146" s="28" t="n">
        <x:f>H146/E146</x:f>
        <x:v>0.6666666666666666</x:v>
      </x:c>
      <x:c r="L146" s="28" t="n">
        <x:f>J146/E146</x:f>
        <x:v>0</x:v>
      </x:c>
      <x:c r="M146" s="18" t="str">
        <x:v>正向</x:v>
      </x:c>
    </x:row>
    <x:row r="147">
      <x:c r="A147" s="18" t="str">
        <x:v>学习工作</x:v>
      </x:c>
      <x:c r="B147" s="18" t="str">
        <x:v>视觉触点</x:v>
      </x:c>
      <x:c r="C147" s="18" t="str">
        <x:v>视觉舒适</x:v>
      </x:c>
      <x:c r="D147" s="18" t="str">
        <x:v>便捷性</x:v>
      </x:c>
      <x:c r="E147" s="26" t="n">
        <x:v>3</x:v>
      </x:c>
      <x:c r="F147" s="28" t="n">
        <x:f>E147/4747</x:f>
        <x:v>0.0006319780914261639</x:v>
      </x:c>
      <x:c r="G147" s="28" t="n">
        <x:f>E147/SUMIF($A$4:$A$256,A147,$E$4:$E$256)</x:f>
        <x:v>0.009615384615384616</x:v>
      </x:c>
      <x:c r="H147" s="26" t="n">
        <x:v>0</x:v>
      </x:c>
      <x:c r="I147" s="26" t="n">
        <x:v>3</x:v>
      </x:c>
      <x:c r="J147" s="26" t="n">
        <x:v>0</x:v>
      </x:c>
      <x:c r="K147" s="28" t="n">
        <x:f>H147/E147</x:f>
        <x:v>0</x:v>
      </x:c>
      <x:c r="L147" s="28" t="n">
        <x:f>J147/E147</x:f>
        <x:v>0</x:v>
      </x:c>
      <x:c r="M147" s="18" t="str">
        <x:v>中性</x:v>
      </x:c>
    </x:row>
    <x:row r="148">
      <x:c r="A148" s="18" t="str">
        <x:v>无</x:v>
      </x:c>
      <x:c r="B148" s="18" t="str">
        <x:v>触觉/近身质感触点</x:v>
      </x:c>
      <x:c r="C148" s="18" t="str">
        <x:v>做工细节</x:v>
      </x:c>
      <x:c r="D148" s="18" t="str">
        <x:v>愉悦与氛围感</x:v>
      </x:c>
      <x:c r="E148" s="26" t="n">
        <x:v>3</x:v>
      </x:c>
      <x:c r="F148" s="28" t="n">
        <x:f>E148/4747</x:f>
        <x:v>0.0006319780914261639</x:v>
      </x:c>
      <x:c r="G148" s="28" t="n">
        <x:f>E148/SUMIF($A$4:$A$256,A148,$E$4:$E$256)</x:f>
        <x:v>0.0012760527435133986</x:v>
      </x:c>
      <x:c r="H148" s="26" t="n">
        <x:v>3</x:v>
      </x:c>
      <x:c r="I148" s="26" t="n">
        <x:v>0</x:v>
      </x:c>
      <x:c r="J148" s="26" t="n">
        <x:v>0</x:v>
      </x:c>
      <x:c r="K148" s="28" t="n">
        <x:f>H148/E148</x:f>
        <x:v>1</x:v>
      </x:c>
      <x:c r="L148" s="28" t="n">
        <x:f>J148/E148</x:f>
        <x:v>0</x:v>
      </x:c>
      <x:c r="M148" s="18" t="str">
        <x:v>正向</x:v>
      </x:c>
    </x:row>
    <x:row r="149">
      <x:c r="A149" s="18" t="str">
        <x:v>无</x:v>
      </x:c>
      <x:c r="B149" s="18" t="str">
        <x:v>触觉/近身质感触点</x:v>
      </x:c>
      <x:c r="C149" s="18" t="str">
        <x:v>材料质感</x:v>
      </x:c>
      <x:c r="D149" s="18" t="str">
        <x:v>无</x:v>
      </x:c>
      <x:c r="E149" s="26" t="n">
        <x:v>3</x:v>
      </x:c>
      <x:c r="F149" s="28" t="n">
        <x:f>E149/4747</x:f>
        <x:v>0.0006319780914261639</x:v>
      </x:c>
      <x:c r="G149" s="28" t="n">
        <x:f>E149/SUMIF($A$4:$A$256,A149,$E$4:$E$256)</x:f>
        <x:v>0.0012760527435133986</x:v>
      </x:c>
      <x:c r="H149" s="26" t="n">
        <x:v>0</x:v>
      </x:c>
      <x:c r="I149" s="26" t="n">
        <x:v>3</x:v>
      </x:c>
      <x:c r="J149" s="26" t="n">
        <x:v>0</x:v>
      </x:c>
      <x:c r="K149" s="28" t="n">
        <x:f>H149/E149</x:f>
        <x:v>0</x:v>
      </x:c>
      <x:c r="L149" s="28" t="n">
        <x:f>J149/E149</x:f>
        <x:v>0</x:v>
      </x:c>
      <x:c r="M149" s="18" t="str">
        <x:v>中性</x:v>
      </x:c>
    </x:row>
    <x:row r="150">
      <x:c r="A150" s="18" t="str">
        <x:v>日常基础照明</x:v>
      </x:c>
      <x:c r="B150" s="18" t="str">
        <x:v>操作交互触点</x:v>
      </x:c>
      <x:c r="C150" s="18" t="str">
        <x:v>交互功能</x:v>
      </x:c>
      <x:c r="D150" s="18" t="str">
        <x:v>安全感</x:v>
      </x:c>
      <x:c r="E150" s="26" t="n">
        <x:v>3</x:v>
      </x:c>
      <x:c r="F150" s="28" t="n">
        <x:f>E150/4747</x:f>
        <x:v>0.0006319780914261639</x:v>
      </x:c>
      <x:c r="G150" s="28" t="n">
        <x:f>E150/SUMIF($A$4:$A$256,A150,$E$4:$E$256)</x:f>
        <x:v>0.0027447392497712718</x:v>
      </x:c>
      <x:c r="H150" s="26" t="n">
        <x:v>2</x:v>
      </x:c>
      <x:c r="I150" s="26" t="n">
        <x:v>1</x:v>
      </x:c>
      <x:c r="J150" s="26" t="n">
        <x:v>0</x:v>
      </x:c>
      <x:c r="K150" s="28" t="n">
        <x:f>H150/E150</x:f>
        <x:v>0.6666666666666666</x:v>
      </x:c>
      <x:c r="L150" s="28" t="n">
        <x:f>J150/E150</x:f>
        <x:v>0</x:v>
      </x:c>
      <x:c r="M150" s="18" t="str">
        <x:v>正向</x:v>
      </x:c>
    </x:row>
    <x:row r="151">
      <x:c r="A151" s="18" t="str">
        <x:v>日常基础照明</x:v>
      </x:c>
      <x:c r="B151" s="18" t="str">
        <x:v>操作交互触点</x:v>
      </x:c>
      <x:c r="C151" s="18" t="str">
        <x:v>交互功能</x:v>
      </x:c>
      <x:c r="D151" s="18" t="str">
        <x:v>无</x:v>
      </x:c>
      <x:c r="E151" s="26" t="n">
        <x:v>3</x:v>
      </x:c>
      <x:c r="F151" s="28" t="n">
        <x:f>E151/4747</x:f>
        <x:v>0.0006319780914261639</x:v>
      </x:c>
      <x:c r="G151" s="28" t="n">
        <x:f>E151/SUMIF($A$4:$A$256,A151,$E$4:$E$256)</x:f>
        <x:v>0.0027447392497712718</x:v>
      </x:c>
      <x:c r="H151" s="26" t="n">
        <x:v>0</x:v>
      </x:c>
      <x:c r="I151" s="26" t="n">
        <x:v>3</x:v>
      </x:c>
      <x:c r="J151" s="26" t="n">
        <x:v>0</x:v>
      </x:c>
      <x:c r="K151" s="28" t="n">
        <x:f>H151/E151</x:f>
        <x:v>0</x:v>
      </x:c>
      <x:c r="L151" s="28" t="n">
        <x:f>J151/E151</x:f>
        <x:v>0</x:v>
      </x:c>
      <x:c r="M151" s="18" t="str">
        <x:v>中性</x:v>
      </x:c>
    </x:row>
    <x:row r="152">
      <x:c r="A152" s="18" t="str">
        <x:v>日常基础照明</x:v>
      </x:c>
      <x:c r="B152" s="18" t="str">
        <x:v>触觉/近身质感触点</x:v>
      </x:c>
      <x:c r="C152" s="18" t="str">
        <x:v>做工细节</x:v>
      </x:c>
      <x:c r="D152" s="18" t="str">
        <x:v>安全感</x:v>
      </x:c>
      <x:c r="E152" s="26" t="n">
        <x:v>3</x:v>
      </x:c>
      <x:c r="F152" s="28" t="n">
        <x:f>E152/4747</x:f>
        <x:v>0.0006319780914261639</x:v>
      </x:c>
      <x:c r="G152" s="28" t="n">
        <x:f>E152/SUMIF($A$4:$A$256,A152,$E$4:$E$256)</x:f>
        <x:v>0.0027447392497712718</x:v>
      </x:c>
      <x:c r="H152" s="26" t="n">
        <x:v>1</x:v>
      </x:c>
      <x:c r="I152" s="26" t="n">
        <x:v>2</x:v>
      </x:c>
      <x:c r="J152" s="26" t="n">
        <x:v>0</x:v>
      </x:c>
      <x:c r="K152" s="28" t="n">
        <x:f>H152/E152</x:f>
        <x:v>0.3333333333333333</x:v>
      </x:c>
      <x:c r="L152" s="28" t="n">
        <x:f>J152/E152</x:f>
        <x:v>0</x:v>
      </x:c>
      <x:c r="M152" s="18" t="str">
        <x:v>中性</x:v>
      </x:c>
    </x:row>
    <x:row r="153">
      <x:c r="A153" s="18" t="str">
        <x:v>日常基础照明</x:v>
      </x:c>
      <x:c r="B153" s="18" t="str">
        <x:v>视觉触点</x:v>
      </x:c>
      <x:c r="C153" s="18" t="str">
        <x:v>形体造型</x:v>
      </x:c>
      <x:c r="D153" s="18" t="str">
        <x:v>安全感</x:v>
      </x:c>
      <x:c r="E153" s="26" t="n">
        <x:v>3</x:v>
      </x:c>
      <x:c r="F153" s="28" t="n">
        <x:f>E153/4747</x:f>
        <x:v>0.0006319780914261639</x:v>
      </x:c>
      <x:c r="G153" s="28" t="n">
        <x:f>E153/SUMIF($A$4:$A$256,A153,$E$4:$E$256)</x:f>
        <x:v>0.0027447392497712718</x:v>
      </x:c>
      <x:c r="H153" s="26" t="n">
        <x:v>1</x:v>
      </x:c>
      <x:c r="I153" s="26" t="n">
        <x:v>2</x:v>
      </x:c>
      <x:c r="J153" s="26" t="n">
        <x:v>0</x:v>
      </x:c>
      <x:c r="K153" s="28" t="n">
        <x:f>H153/E153</x:f>
        <x:v>0.3333333333333333</x:v>
      </x:c>
      <x:c r="L153" s="28" t="n">
        <x:f>J153/E153</x:f>
        <x:v>0</x:v>
      </x:c>
      <x:c r="M153" s="18" t="str">
        <x:v>中性</x:v>
      </x:c>
    </x:row>
    <x:row r="154">
      <x:c r="A154" s="18" t="str">
        <x:v>日常基础照明</x:v>
      </x:c>
      <x:c r="B154" s="18" t="str">
        <x:v>视觉触点</x:v>
      </x:c>
      <x:c r="C154" s="18" t="str">
        <x:v>视觉舒适</x:v>
      </x:c>
      <x:c r="D154" s="18" t="str">
        <x:v>便捷性</x:v>
      </x:c>
      <x:c r="E154" s="26" t="n">
        <x:v>3</x:v>
      </x:c>
      <x:c r="F154" s="28" t="n">
        <x:f>E154/4747</x:f>
        <x:v>0.0006319780914261639</x:v>
      </x:c>
      <x:c r="G154" s="28" t="n">
        <x:f>E154/SUMIF($A$4:$A$256,A154,$E$4:$E$256)</x:f>
        <x:v>0.0027447392497712718</x:v>
      </x:c>
      <x:c r="H154" s="26" t="n">
        <x:v>1</x:v>
      </x:c>
      <x:c r="I154" s="26" t="n">
        <x:v>2</x:v>
      </x:c>
      <x:c r="J154" s="26" t="n">
        <x:v>0</x:v>
      </x:c>
      <x:c r="K154" s="28" t="n">
        <x:f>H154/E154</x:f>
        <x:v>0.3333333333333333</x:v>
      </x:c>
      <x:c r="L154" s="28" t="n">
        <x:f>J154/E154</x:f>
        <x:v>0</x:v>
      </x:c>
      <x:c r="M154" s="18" t="str">
        <x:v>中性</x:v>
      </x:c>
    </x:row>
    <x:row r="155">
      <x:c r="A155" s="18" t="str">
        <x:v>日常基础照明</x:v>
      </x:c>
      <x:c r="B155" s="18" t="str">
        <x:v>视觉触点</x:v>
      </x:c>
      <x:c r="C155" s="18" t="str">
        <x:v>视觉舒适</x:v>
      </x:c>
      <x:c r="D155" s="18" t="str">
        <x:v>安全感</x:v>
      </x:c>
      <x:c r="E155" s="26" t="n">
        <x:v>3</x:v>
      </x:c>
      <x:c r="F155" s="28" t="n">
        <x:f>E155/4747</x:f>
        <x:v>0.0006319780914261639</x:v>
      </x:c>
      <x:c r="G155" s="28" t="n">
        <x:f>E155/SUMIF($A$4:$A$256,A155,$E$4:$E$256)</x:f>
        <x:v>0.0027447392497712718</x:v>
      </x:c>
      <x:c r="H155" s="26" t="n">
        <x:v>2</x:v>
      </x:c>
      <x:c r="I155" s="26" t="n">
        <x:v>1</x:v>
      </x:c>
      <x:c r="J155" s="26" t="n">
        <x:v>0</x:v>
      </x:c>
      <x:c r="K155" s="28" t="n">
        <x:f>H155/E155</x:f>
        <x:v>0.6666666666666666</x:v>
      </x:c>
      <x:c r="L155" s="28" t="n">
        <x:f>J155/E155</x:f>
        <x:v>0</x:v>
      </x:c>
      <x:c r="M155" s="18" t="str">
        <x:v>正向</x:v>
      </x:c>
    </x:row>
    <x:row r="156">
      <x:c r="A156" s="18" t="str">
        <x:v>日常基础照明</x:v>
      </x:c>
      <x:c r="B156" s="18" t="str">
        <x:v>视觉触点</x:v>
      </x:c>
      <x:c r="C156" s="18" t="str">
        <x:v>风格设计</x:v>
      </x:c>
      <x:c r="D156" s="18" t="str">
        <x:v>舒适感</x:v>
      </x:c>
      <x:c r="E156" s="26" t="n">
        <x:v>3</x:v>
      </x:c>
      <x:c r="F156" s="28" t="n">
        <x:f>E156/4747</x:f>
        <x:v>0.0006319780914261639</x:v>
      </x:c>
      <x:c r="G156" s="28" t="n">
        <x:f>E156/SUMIF($A$4:$A$256,A156,$E$4:$E$256)</x:f>
        <x:v>0.0027447392497712718</x:v>
      </x:c>
      <x:c r="H156" s="26" t="n">
        <x:v>3</x:v>
      </x:c>
      <x:c r="I156" s="26" t="n">
        <x:v>0</x:v>
      </x:c>
      <x:c r="J156" s="26" t="n">
        <x:v>0</x:v>
      </x:c>
      <x:c r="K156" s="28" t="n">
        <x:f>H156/E156</x:f>
        <x:v>1</x:v>
      </x:c>
      <x:c r="L156" s="28" t="n">
        <x:f>J156/E156</x:f>
        <x:v>0</x:v>
      </x:c>
      <x:c r="M156" s="18" t="str">
        <x:v>正向</x:v>
      </x:c>
    </x:row>
    <x:row r="157">
      <x:c r="A157" s="18" t="str">
        <x:v>智能托管</x:v>
      </x:c>
      <x:c r="B157" s="18" t="str">
        <x:v>触觉/近身质感触点</x:v>
      </x:c>
      <x:c r="C157" s="18" t="str">
        <x:v>材料质感</x:v>
      </x:c>
      <x:c r="D157" s="18" t="str">
        <x:v>美观与价值感</x:v>
      </x:c>
      <x:c r="E157" s="26" t="n">
        <x:v>3</x:v>
      </x:c>
      <x:c r="F157" s="28" t="n">
        <x:f>E157/4747</x:f>
        <x:v>0.0006319780914261639</x:v>
      </x:c>
      <x:c r="G157" s="28" t="n">
        <x:f>E157/SUMIF($A$4:$A$256,A157,$E$4:$E$256)</x:f>
        <x:v>0.01060070671378092</x:v>
      </x:c>
      <x:c r="H157" s="26" t="n">
        <x:v>0</x:v>
      </x:c>
      <x:c r="I157" s="26" t="n">
        <x:v>3</x:v>
      </x:c>
      <x:c r="J157" s="26" t="n">
        <x:v>0</x:v>
      </x:c>
      <x:c r="K157" s="28" t="n">
        <x:f>H157/E157</x:f>
        <x:v>0</x:v>
      </x:c>
      <x:c r="L157" s="28" t="n">
        <x:f>J157/E157</x:f>
        <x:v>0</x:v>
      </x:c>
      <x:c r="M157" s="18" t="str">
        <x:v>中性</x:v>
      </x:c>
    </x:row>
    <x:row r="158">
      <x:c r="A158" s="18" t="str">
        <x:v>智能托管</x:v>
      </x:c>
      <x:c r="B158" s="18" t="str">
        <x:v>视觉触点</x:v>
      </x:c>
      <x:c r="C158" s="18" t="str">
        <x:v>照明与色调</x:v>
      </x:c>
      <x:c r="D158" s="18" t="str">
        <x:v>安全感</x:v>
      </x:c>
      <x:c r="E158" s="26" t="n">
        <x:v>3</x:v>
      </x:c>
      <x:c r="F158" s="28" t="n">
        <x:f>E158/4747</x:f>
        <x:v>0.0006319780914261639</x:v>
      </x:c>
      <x:c r="G158" s="28" t="n">
        <x:f>E158/SUMIF($A$4:$A$256,A158,$E$4:$E$256)</x:f>
        <x:v>0.01060070671378092</x:v>
      </x:c>
      <x:c r="H158" s="26" t="n">
        <x:v>2</x:v>
      </x:c>
      <x:c r="I158" s="26" t="n">
        <x:v>1</x:v>
      </x:c>
      <x:c r="J158" s="26" t="n">
        <x:v>0</x:v>
      </x:c>
      <x:c r="K158" s="28" t="n">
        <x:f>H158/E158</x:f>
        <x:v>0.6666666666666666</x:v>
      </x:c>
      <x:c r="L158" s="28" t="n">
        <x:f>J158/E158</x:f>
        <x:v>0</x:v>
      </x:c>
      <x:c r="M158" s="18" t="str">
        <x:v>正向</x:v>
      </x:c>
    </x:row>
    <x:row r="159">
      <x:c r="A159" s="18" t="str">
        <x:v>智能托管</x:v>
      </x:c>
      <x:c r="B159" s="18" t="str">
        <x:v>视觉触点</x:v>
      </x:c>
      <x:c r="C159" s="18" t="str">
        <x:v>视觉舒适</x:v>
      </x:c>
      <x:c r="D159" s="18" t="str">
        <x:v>舒适感</x:v>
      </x:c>
      <x:c r="E159" s="26" t="n">
        <x:v>3</x:v>
      </x:c>
      <x:c r="F159" s="28" t="n">
        <x:f>E159/4747</x:f>
        <x:v>0.0006319780914261639</x:v>
      </x:c>
      <x:c r="G159" s="28" t="n">
        <x:f>E159/SUMIF($A$4:$A$256,A159,$E$4:$E$256)</x:f>
        <x:v>0.01060070671378092</x:v>
      </x:c>
      <x:c r="H159" s="26" t="n">
        <x:v>1</x:v>
      </x:c>
      <x:c r="I159" s="26" t="n">
        <x:v>2</x:v>
      </x:c>
      <x:c r="J159" s="26" t="n">
        <x:v>0</x:v>
      </x:c>
      <x:c r="K159" s="28" t="n">
        <x:f>H159/E159</x:f>
        <x:v>0.3333333333333333</x:v>
      </x:c>
      <x:c r="L159" s="28" t="n">
        <x:f>J159/E159</x:f>
        <x:v>0</x:v>
      </x:c>
      <x:c r="M159" s="18" t="str">
        <x:v>中性</x:v>
      </x:c>
    </x:row>
    <x:row r="160">
      <x:c r="A160" s="18" t="str">
        <x:v>智能托管</x:v>
      </x:c>
      <x:c r="B160" s="18" t="str">
        <x:v>视觉触点</x:v>
      </x:c>
      <x:c r="C160" s="18" t="str">
        <x:v>风格设计</x:v>
      </x:c>
      <x:c r="D160" s="18" t="str">
        <x:v>便捷性</x:v>
      </x:c>
      <x:c r="E160" s="26" t="n">
        <x:v>3</x:v>
      </x:c>
      <x:c r="F160" s="28" t="n">
        <x:f>E160/4747</x:f>
        <x:v>0.0006319780914261639</x:v>
      </x:c>
      <x:c r="G160" s="28" t="n">
        <x:f>E160/SUMIF($A$4:$A$256,A160,$E$4:$E$256)</x:f>
        <x:v>0.01060070671378092</x:v>
      </x:c>
      <x:c r="H160" s="26" t="n">
        <x:v>3</x:v>
      </x:c>
      <x:c r="I160" s="26" t="n">
        <x:v>0</x:v>
      </x:c>
      <x:c r="J160" s="26" t="n">
        <x:v>0</x:v>
      </x:c>
      <x:c r="K160" s="28" t="n">
        <x:f>H160/E160</x:f>
        <x:v>1</x:v>
      </x:c>
      <x:c r="L160" s="28" t="n">
        <x:f>J160/E160</x:f>
        <x:v>0</x:v>
      </x:c>
      <x:c r="M160" s="18" t="str">
        <x:v>正向</x:v>
      </x:c>
    </x:row>
    <x:row r="161">
      <x:c r="A161" s="18" t="str">
        <x:v>睡眠与起居</x:v>
      </x:c>
      <x:c r="B161" s="18" t="str">
        <x:v>操作交互触点</x:v>
      </x:c>
      <x:c r="C161" s="18" t="str">
        <x:v>交互功能</x:v>
      </x:c>
      <x:c r="D161" s="18" t="str">
        <x:v>安全感</x:v>
      </x:c>
      <x:c r="E161" s="26" t="n">
        <x:v>3</x:v>
      </x:c>
      <x:c r="F161" s="28" t="n">
        <x:f>E161/4747</x:f>
        <x:v>0.0006319780914261639</x:v>
      </x:c>
      <x:c r="G161" s="28" t="n">
        <x:f>E161/SUMIF($A$4:$A$256,A161,$E$4:$E$256)</x:f>
        <x:v>0.006928406466512702</x:v>
      </x:c>
      <x:c r="H161" s="26" t="n">
        <x:v>3</x:v>
      </x:c>
      <x:c r="I161" s="26" t="n">
        <x:v>0</x:v>
      </x:c>
      <x:c r="J161" s="26" t="n">
        <x:v>0</x:v>
      </x:c>
      <x:c r="K161" s="28" t="n">
        <x:f>H161/E161</x:f>
        <x:v>1</x:v>
      </x:c>
      <x:c r="L161" s="28" t="n">
        <x:f>J161/E161</x:f>
        <x:v>0</x:v>
      </x:c>
      <x:c r="M161" s="18" t="str">
        <x:v>正向</x:v>
      </x:c>
    </x:row>
    <x:row r="162">
      <x:c r="A162" s="18" t="str">
        <x:v>睡眠与起居</x:v>
      </x:c>
      <x:c r="B162" s="18" t="str">
        <x:v>视觉触点</x:v>
      </x:c>
      <x:c r="C162" s="18" t="str">
        <x:v>形体造型</x:v>
      </x:c>
      <x:c r="D162" s="18" t="str">
        <x:v>便捷性</x:v>
      </x:c>
      <x:c r="E162" s="26" t="n">
        <x:v>3</x:v>
      </x:c>
      <x:c r="F162" s="28" t="n">
        <x:f>E162/4747</x:f>
        <x:v>0.0006319780914261639</x:v>
      </x:c>
      <x:c r="G162" s="28" t="n">
        <x:f>E162/SUMIF($A$4:$A$256,A162,$E$4:$E$256)</x:f>
        <x:v>0.006928406466512702</x:v>
      </x:c>
      <x:c r="H162" s="26" t="n">
        <x:v>3</x:v>
      </x:c>
      <x:c r="I162" s="26" t="n">
        <x:v>0</x:v>
      </x:c>
      <x:c r="J162" s="26" t="n">
        <x:v>0</x:v>
      </x:c>
      <x:c r="K162" s="28" t="n">
        <x:f>H162/E162</x:f>
        <x:v>1</x:v>
      </x:c>
      <x:c r="L162" s="28" t="n">
        <x:f>J162/E162</x:f>
        <x:v>0</x:v>
      </x:c>
      <x:c r="M162" s="18" t="str">
        <x:v>正向</x:v>
      </x:c>
    </x:row>
    <x:row r="163">
      <x:c r="A163" s="18" t="str">
        <x:v>睡眠与起居</x:v>
      </x:c>
      <x:c r="B163" s="18" t="str">
        <x:v>视觉触点</x:v>
      </x:c>
      <x:c r="C163" s="18" t="str">
        <x:v>空间氛围</x:v>
      </x:c>
      <x:c r="D163" s="18" t="str">
        <x:v>舒适感</x:v>
      </x:c>
      <x:c r="E163" s="26" t="n">
        <x:v>3</x:v>
      </x:c>
      <x:c r="F163" s="28" t="n">
        <x:f>E163/4747</x:f>
        <x:v>0.0006319780914261639</x:v>
      </x:c>
      <x:c r="G163" s="28" t="n">
        <x:f>E163/SUMIF($A$4:$A$256,A163,$E$4:$E$256)</x:f>
        <x:v>0.006928406466512702</x:v>
      </x:c>
      <x:c r="H163" s="26" t="n">
        <x:v>2</x:v>
      </x:c>
      <x:c r="I163" s="26" t="n">
        <x:v>1</x:v>
      </x:c>
      <x:c r="J163" s="26" t="n">
        <x:v>0</x:v>
      </x:c>
      <x:c r="K163" s="28" t="n">
        <x:f>H163/E163</x:f>
        <x:v>0.6666666666666666</x:v>
      </x:c>
      <x:c r="L163" s="28" t="n">
        <x:f>J163/E163</x:f>
        <x:v>0</x:v>
      </x:c>
      <x:c r="M163" s="18" t="str">
        <x:v>正向</x:v>
      </x:c>
    </x:row>
    <x:row r="164">
      <x:c r="A164" s="18" t="str">
        <x:v>亲子互动陪伴</x:v>
      </x:c>
      <x:c r="B164" s="18" t="str">
        <x:v>操作交互触点</x:v>
      </x:c>
      <x:c r="C164" s="18" t="str">
        <x:v>交互功能</x:v>
      </x:c>
      <x:c r="D164" s="18" t="str">
        <x:v>安全感</x:v>
      </x:c>
      <x:c r="E164" s="26" t="n">
        <x:v>2</x:v>
      </x:c>
      <x:c r="F164" s="28" t="n">
        <x:f>E164/4747</x:f>
        <x:v>0.0004213187276174426</x:v>
      </x:c>
      <x:c r="G164" s="28" t="n">
        <x:f>E164/SUMIF($A$4:$A$256,A164,$E$4:$E$256)</x:f>
        <x:v>0.03125</x:v>
      </x:c>
      <x:c r="H164" s="26" t="n">
        <x:v>2</x:v>
      </x:c>
      <x:c r="I164" s="26" t="n">
        <x:v>0</x:v>
      </x:c>
      <x:c r="J164" s="26" t="n">
        <x:v>0</x:v>
      </x:c>
      <x:c r="K164" s="28" t="n">
        <x:f>H164/E164</x:f>
        <x:v>1</x:v>
      </x:c>
      <x:c r="L164" s="28" t="n">
        <x:f>J164/E164</x:f>
        <x:v>0</x:v>
      </x:c>
      <x:c r="M164" s="18" t="str">
        <x:v>正向</x:v>
      </x:c>
    </x:row>
    <x:row r="165">
      <x:c r="A165" s="18" t="str">
        <x:v>亲子互动陪伴</x:v>
      </x:c>
      <x:c r="B165" s="18" t="str">
        <x:v>操作交互触点</x:v>
      </x:c>
      <x:c r="C165" s="18" t="str">
        <x:v>交互功能</x:v>
      </x:c>
      <x:c r="D165" s="18" t="str">
        <x:v>舒适感</x:v>
      </x:c>
      <x:c r="E165" s="26" t="n">
        <x:v>2</x:v>
      </x:c>
      <x:c r="F165" s="28" t="n">
        <x:f>E165/4747</x:f>
        <x:v>0.0004213187276174426</x:v>
      </x:c>
      <x:c r="G165" s="28" t="n">
        <x:f>E165/SUMIF($A$4:$A$256,A165,$E$4:$E$256)</x:f>
        <x:v>0.03125</x:v>
      </x:c>
      <x:c r="H165" s="26" t="n">
        <x:v>2</x:v>
      </x:c>
      <x:c r="I165" s="26" t="n">
        <x:v>0</x:v>
      </x:c>
      <x:c r="J165" s="26" t="n">
        <x:v>0</x:v>
      </x:c>
      <x:c r="K165" s="28" t="n">
        <x:f>H165/E165</x:f>
        <x:v>1</x:v>
      </x:c>
      <x:c r="L165" s="28" t="n">
        <x:f>J165/E165</x:f>
        <x:v>0</x:v>
      </x:c>
      <x:c r="M165" s="18" t="str">
        <x:v>正向</x:v>
      </x:c>
    </x:row>
    <x:row r="166">
      <x:c r="A166" s="18" t="str">
        <x:v>亲子互动陪伴</x:v>
      </x:c>
      <x:c r="B166" s="18" t="str">
        <x:v>视觉触点</x:v>
      </x:c>
      <x:c r="C166" s="18" t="str">
        <x:v>形体造型</x:v>
      </x:c>
      <x:c r="D166" s="18" t="str">
        <x:v>美观与价值感</x:v>
      </x:c>
      <x:c r="E166" s="26" t="n">
        <x:v>2</x:v>
      </x:c>
      <x:c r="F166" s="28" t="n">
        <x:f>E166/4747</x:f>
        <x:v>0.0004213187276174426</x:v>
      </x:c>
      <x:c r="G166" s="28" t="n">
        <x:f>E166/SUMIF($A$4:$A$256,A166,$E$4:$E$256)</x:f>
        <x:v>0.03125</x:v>
      </x:c>
      <x:c r="H166" s="26" t="n">
        <x:v>0</x:v>
      </x:c>
      <x:c r="I166" s="26" t="n">
        <x:v>2</x:v>
      </x:c>
      <x:c r="J166" s="26" t="n">
        <x:v>0</x:v>
      </x:c>
      <x:c r="K166" s="28" t="n">
        <x:f>H166/E166</x:f>
        <x:v>0</x:v>
      </x:c>
      <x:c r="L166" s="28" t="n">
        <x:f>J166/E166</x:f>
        <x:v>0</x:v>
      </x:c>
      <x:c r="M166" s="18" t="str">
        <x:v>中性</x:v>
      </x:c>
    </x:row>
    <x:row r="167">
      <x:c r="A167" s="18" t="str">
        <x:v>亲子互动陪伴</x:v>
      </x:c>
      <x:c r="B167" s="18" t="str">
        <x:v>视觉触点</x:v>
      </x:c>
      <x:c r="C167" s="18" t="str">
        <x:v>照明与色调</x:v>
      </x:c>
      <x:c r="D167" s="18" t="str">
        <x:v>安全感</x:v>
      </x:c>
      <x:c r="E167" s="26" t="n">
        <x:v>2</x:v>
      </x:c>
      <x:c r="F167" s="28" t="n">
        <x:f>E167/4747</x:f>
        <x:v>0.0004213187276174426</x:v>
      </x:c>
      <x:c r="G167" s="28" t="n">
        <x:f>E167/SUMIF($A$4:$A$256,A167,$E$4:$E$256)</x:f>
        <x:v>0.03125</x:v>
      </x:c>
      <x:c r="H167" s="26" t="n">
        <x:v>0</x:v>
      </x:c>
      <x:c r="I167" s="26" t="n">
        <x:v>1</x:v>
      </x:c>
      <x:c r="J167" s="26" t="n">
        <x:v>1</x:v>
      </x:c>
      <x:c r="K167" s="28" t="n">
        <x:f>H167/E167</x:f>
        <x:v>0</x:v>
      </x:c>
      <x:c r="L167" s="28" t="n">
        <x:f>J167/E167</x:f>
        <x:v>0.5</x:v>
      </x:c>
      <x:c r="M167" s="18" t="str">
        <x:v>中性</x:v>
      </x:c>
    </x:row>
    <x:row r="168">
      <x:c r="A168" s="18" t="str">
        <x:v>亲子互动陪伴</x:v>
      </x:c>
      <x:c r="B168" s="18" t="str">
        <x:v>视觉触点</x:v>
      </x:c>
      <x:c r="C168" s="18" t="str">
        <x:v>照明与色调</x:v>
      </x:c>
      <x:c r="D168" s="18" t="str">
        <x:v>愉悦与氛围感</x:v>
      </x:c>
      <x:c r="E168" s="26" t="n">
        <x:v>2</x:v>
      </x:c>
      <x:c r="F168" s="28" t="n">
        <x:f>E168/4747</x:f>
        <x:v>0.0004213187276174426</x:v>
      </x:c>
      <x:c r="G168" s="28" t="n">
        <x:f>E168/SUMIF($A$4:$A$256,A168,$E$4:$E$256)</x:f>
        <x:v>0.03125</x:v>
      </x:c>
      <x:c r="H168" s="26" t="n">
        <x:v>2</x:v>
      </x:c>
      <x:c r="I168" s="26" t="n">
        <x:v>0</x:v>
      </x:c>
      <x:c r="J168" s="26" t="n">
        <x:v>0</x:v>
      </x:c>
      <x:c r="K168" s="28" t="n">
        <x:f>H168/E168</x:f>
        <x:v>1</x:v>
      </x:c>
      <x:c r="L168" s="28" t="n">
        <x:f>J168/E168</x:f>
        <x:v>0</x:v>
      </x:c>
      <x:c r="M168" s="18" t="str">
        <x:v>正向</x:v>
      </x:c>
    </x:row>
    <x:row r="169">
      <x:c r="A169" s="18" t="str">
        <x:v>亲子互动陪伴</x:v>
      </x:c>
      <x:c r="B169" s="18" t="str">
        <x:v>视觉触点</x:v>
      </x:c>
      <x:c r="C169" s="18" t="str">
        <x:v>风格设计</x:v>
      </x:c>
      <x:c r="D169" s="18" t="str">
        <x:v>愉悦与氛围感</x:v>
      </x:c>
      <x:c r="E169" s="26" t="n">
        <x:v>2</x:v>
      </x:c>
      <x:c r="F169" s="28" t="n">
        <x:f>E169/4747</x:f>
        <x:v>0.0004213187276174426</x:v>
      </x:c>
      <x:c r="G169" s="28" t="n">
        <x:f>E169/SUMIF($A$4:$A$256,A169,$E$4:$E$256)</x:f>
        <x:v>0.03125</x:v>
      </x:c>
      <x:c r="H169" s="26" t="n">
        <x:v>2</x:v>
      </x:c>
      <x:c r="I169" s="26" t="n">
        <x:v>0</x:v>
      </x:c>
      <x:c r="J169" s="26" t="n">
        <x:v>0</x:v>
      </x:c>
      <x:c r="K169" s="28" t="n">
        <x:f>H169/E169</x:f>
        <x:v>1</x:v>
      </x:c>
      <x:c r="L169" s="28" t="n">
        <x:f>J169/E169</x:f>
        <x:v>0</x:v>
      </x:c>
      <x:c r="M169" s="18" t="str">
        <x:v>正向</x:v>
      </x:c>
    </x:row>
    <x:row r="170">
      <x:c r="A170" s="18" t="str">
        <x:v>休闲娱乐</x:v>
      </x:c>
      <x:c r="B170" s="18" t="str">
        <x:v>视觉触点</x:v>
      </x:c>
      <x:c r="C170" s="18" t="str">
        <x:v>空间氛围</x:v>
      </x:c>
      <x:c r="D170" s="18" t="str">
        <x:v>便捷性</x:v>
      </x:c>
      <x:c r="E170" s="26" t="n">
        <x:v>2</x:v>
      </x:c>
      <x:c r="F170" s="28" t="n">
        <x:f>E170/4747</x:f>
        <x:v>0.0004213187276174426</x:v>
      </x:c>
      <x:c r="G170" s="28" t="n">
        <x:f>E170/SUMIF($A$4:$A$256,A170,$E$4:$E$256)</x:f>
        <x:v>0.009478672985781991</x:v>
      </x:c>
      <x:c r="H170" s="26" t="n">
        <x:v>2</x:v>
      </x:c>
      <x:c r="I170" s="26" t="n">
        <x:v>0</x:v>
      </x:c>
      <x:c r="J170" s="26" t="n">
        <x:v>0</x:v>
      </x:c>
      <x:c r="K170" s="28" t="n">
        <x:f>H170/E170</x:f>
        <x:v>1</x:v>
      </x:c>
      <x:c r="L170" s="28" t="n">
        <x:f>J170/E170</x:f>
        <x:v>0</x:v>
      </x:c>
      <x:c r="M170" s="18" t="str">
        <x:v>正向</x:v>
      </x:c>
    </x:row>
    <x:row r="171">
      <x:c r="A171" s="18" t="str">
        <x:v>休闲娱乐</x:v>
      </x:c>
      <x:c r="B171" s="18" t="str">
        <x:v>视觉触点</x:v>
      </x:c>
      <x:c r="C171" s="18" t="str">
        <x:v>色彩</x:v>
      </x:c>
      <x:c r="D171" s="18" t="str">
        <x:v>美观与价值感</x:v>
      </x:c>
      <x:c r="E171" s="26" t="n">
        <x:v>2</x:v>
      </x:c>
      <x:c r="F171" s="28" t="n">
        <x:f>E171/4747</x:f>
        <x:v>0.0004213187276174426</x:v>
      </x:c>
      <x:c r="G171" s="28" t="n">
        <x:f>E171/SUMIF($A$4:$A$256,A171,$E$4:$E$256)</x:f>
        <x:v>0.009478672985781991</x:v>
      </x:c>
      <x:c r="H171" s="26" t="n">
        <x:v>1</x:v>
      </x:c>
      <x:c r="I171" s="26" t="n">
        <x:v>1</x:v>
      </x:c>
      <x:c r="J171" s="26" t="n">
        <x:v>0</x:v>
      </x:c>
      <x:c r="K171" s="28" t="n">
        <x:f>H171/E171</x:f>
        <x:v>0.5</x:v>
      </x:c>
      <x:c r="L171" s="28" t="n">
        <x:f>J171/E171</x:f>
        <x:v>0</x:v>
      </x:c>
      <x:c r="M171" s="18" t="str">
        <x:v>正向</x:v>
      </x:c>
    </x:row>
    <x:row r="172">
      <x:c r="A172" s="18" t="str">
        <x:v>休闲娱乐</x:v>
      </x:c>
      <x:c r="B172" s="18" t="str">
        <x:v>视觉触点</x:v>
      </x:c>
      <x:c r="C172" s="18" t="str">
        <x:v>视觉舒适</x:v>
      </x:c>
      <x:c r="D172" s="18" t="str">
        <x:v>愉悦与氛围感</x:v>
      </x:c>
      <x:c r="E172" s="26" t="n">
        <x:v>2</x:v>
      </x:c>
      <x:c r="F172" s="28" t="n">
        <x:f>E172/4747</x:f>
        <x:v>0.0004213187276174426</x:v>
      </x:c>
      <x:c r="G172" s="28" t="n">
        <x:f>E172/SUMIF($A$4:$A$256,A172,$E$4:$E$256)</x:f>
        <x:v>0.009478672985781991</x:v>
      </x:c>
      <x:c r="H172" s="26" t="n">
        <x:v>1</x:v>
      </x:c>
      <x:c r="I172" s="26" t="n">
        <x:v>1</x:v>
      </x:c>
      <x:c r="J172" s="26" t="n">
        <x:v>0</x:v>
      </x:c>
      <x:c r="K172" s="28" t="n">
        <x:f>H172/E172</x:f>
        <x:v>0.5</x:v>
      </x:c>
      <x:c r="L172" s="28" t="n">
        <x:f>J172/E172</x:f>
        <x:v>0</x:v>
      </x:c>
      <x:c r="M172" s="18" t="str">
        <x:v>正向</x:v>
      </x:c>
    </x:row>
    <x:row r="173">
      <x:c r="A173" s="18" t="str">
        <x:v>休闲娱乐</x:v>
      </x:c>
      <x:c r="B173" s="18" t="str">
        <x:v>视觉触点</x:v>
      </x:c>
      <x:c r="C173" s="18" t="str">
        <x:v>风格设计</x:v>
      </x:c>
      <x:c r="D173" s="18" t="str">
        <x:v>愉悦与氛围感</x:v>
      </x:c>
      <x:c r="E173" s="26" t="n">
        <x:v>2</x:v>
      </x:c>
      <x:c r="F173" s="28" t="n">
        <x:f>E173/4747</x:f>
        <x:v>0.0004213187276174426</x:v>
      </x:c>
      <x:c r="G173" s="28" t="n">
        <x:f>E173/SUMIF($A$4:$A$256,A173,$E$4:$E$256)</x:f>
        <x:v>0.009478672985781991</x:v>
      </x:c>
      <x:c r="H173" s="26" t="n">
        <x:v>2</x:v>
      </x:c>
      <x:c r="I173" s="26" t="n">
        <x:v>0</x:v>
      </x:c>
      <x:c r="J173" s="26" t="n">
        <x:v>0</x:v>
      </x:c>
      <x:c r="K173" s="28" t="n">
        <x:f>H173/E173</x:f>
        <x:v>1</x:v>
      </x:c>
      <x:c r="L173" s="28" t="n">
        <x:f>J173/E173</x:f>
        <x:v>0</x:v>
      </x:c>
      <x:c r="M173" s="18" t="str">
        <x:v>正向</x:v>
      </x:c>
    </x:row>
    <x:row r="174">
      <x:c r="A174" s="18" t="str">
        <x:v>学习工作</x:v>
      </x:c>
      <x:c r="B174" s="18" t="str">
        <x:v>操作交互触点</x:v>
      </x:c>
      <x:c r="C174" s="18" t="str">
        <x:v>交互功能</x:v>
      </x:c>
      <x:c r="D174" s="18" t="str">
        <x:v>舒适感</x:v>
      </x:c>
      <x:c r="E174" s="26" t="n">
        <x:v>2</x:v>
      </x:c>
      <x:c r="F174" s="28" t="n">
        <x:f>E174/4747</x:f>
        <x:v>0.0004213187276174426</x:v>
      </x:c>
      <x:c r="G174" s="28" t="n">
        <x:f>E174/SUMIF($A$4:$A$256,A174,$E$4:$E$256)</x:f>
        <x:v>0.00641025641025641</x:v>
      </x:c>
      <x:c r="H174" s="26" t="n">
        <x:v>2</x:v>
      </x:c>
      <x:c r="I174" s="26" t="n">
        <x:v>0</x:v>
      </x:c>
      <x:c r="J174" s="26" t="n">
        <x:v>0</x:v>
      </x:c>
      <x:c r="K174" s="28" t="n">
        <x:f>H174/E174</x:f>
        <x:v>1</x:v>
      </x:c>
      <x:c r="L174" s="28" t="n">
        <x:f>J174/E174</x:f>
        <x:v>0</x:v>
      </x:c>
      <x:c r="M174" s="18" t="str">
        <x:v>正向</x:v>
      </x:c>
    </x:row>
    <x:row r="175">
      <x:c r="A175" s="18" t="str">
        <x:v>学习工作</x:v>
      </x:c>
      <x:c r="B175" s="18" t="str">
        <x:v>触觉/近身质感触点</x:v>
      </x:c>
      <x:c r="C175" s="18" t="str">
        <x:v>做工细节</x:v>
      </x:c>
      <x:c r="D175" s="18" t="str">
        <x:v>美观与价值感</x:v>
      </x:c>
      <x:c r="E175" s="26" t="n">
        <x:v>2</x:v>
      </x:c>
      <x:c r="F175" s="28" t="n">
        <x:f>E175/4747</x:f>
        <x:v>0.0004213187276174426</x:v>
      </x:c>
      <x:c r="G175" s="28" t="n">
        <x:f>E175/SUMIF($A$4:$A$256,A175,$E$4:$E$256)</x:f>
        <x:v>0.00641025641025641</x:v>
      </x:c>
      <x:c r="H175" s="26" t="n">
        <x:v>2</x:v>
      </x:c>
      <x:c r="I175" s="26" t="n">
        <x:v>0</x:v>
      </x:c>
      <x:c r="J175" s="26" t="n">
        <x:v>0</x:v>
      </x:c>
      <x:c r="K175" s="28" t="n">
        <x:f>H175/E175</x:f>
        <x:v>1</x:v>
      </x:c>
      <x:c r="L175" s="28" t="n">
        <x:f>J175/E175</x:f>
        <x:v>0</x:v>
      </x:c>
      <x:c r="M175" s="18" t="str">
        <x:v>正向</x:v>
      </x:c>
    </x:row>
    <x:row r="176">
      <x:c r="A176" s="18" t="str">
        <x:v>学习工作</x:v>
      </x:c>
      <x:c r="B176" s="18" t="str">
        <x:v>触觉/近身质感触点</x:v>
      </x:c>
      <x:c r="C176" s="18" t="str">
        <x:v>材料质感</x:v>
      </x:c>
      <x:c r="D176" s="18" t="str">
        <x:v>美观与价值感</x:v>
      </x:c>
      <x:c r="E176" s="26" t="n">
        <x:v>2</x:v>
      </x:c>
      <x:c r="F176" s="28" t="n">
        <x:f>E176/4747</x:f>
        <x:v>0.0004213187276174426</x:v>
      </x:c>
      <x:c r="G176" s="28" t="n">
        <x:f>E176/SUMIF($A$4:$A$256,A176,$E$4:$E$256)</x:f>
        <x:v>0.00641025641025641</x:v>
      </x:c>
      <x:c r="H176" s="26" t="n">
        <x:v>1</x:v>
      </x:c>
      <x:c r="I176" s="26" t="n">
        <x:v>1</x:v>
      </x:c>
      <x:c r="J176" s="26" t="n">
        <x:v>0</x:v>
      </x:c>
      <x:c r="K176" s="28" t="n">
        <x:f>H176/E176</x:f>
        <x:v>0.5</x:v>
      </x:c>
      <x:c r="L176" s="28" t="n">
        <x:f>J176/E176</x:f>
        <x:v>0</x:v>
      </x:c>
      <x:c r="M176" s="18" t="str">
        <x:v>正向</x:v>
      </x:c>
    </x:row>
    <x:row r="177">
      <x:c r="A177" s="18" t="str">
        <x:v>学习工作</x:v>
      </x:c>
      <x:c r="B177" s="18" t="str">
        <x:v>视觉触点</x:v>
      </x:c>
      <x:c r="C177" s="18" t="str">
        <x:v>照明与色调</x:v>
      </x:c>
      <x:c r="D177" s="18" t="str">
        <x:v>无</x:v>
      </x:c>
      <x:c r="E177" s="26" t="n">
        <x:v>2</x:v>
      </x:c>
      <x:c r="F177" s="28" t="n">
        <x:f>E177/4747</x:f>
        <x:v>0.0004213187276174426</x:v>
      </x:c>
      <x:c r="G177" s="28" t="n">
        <x:f>E177/SUMIF($A$4:$A$256,A177,$E$4:$E$256)</x:f>
        <x:v>0.00641025641025641</x:v>
      </x:c>
      <x:c r="H177" s="26" t="n">
        <x:v>0</x:v>
      </x:c>
      <x:c r="I177" s="26" t="n">
        <x:v>2</x:v>
      </x:c>
      <x:c r="J177" s="26" t="n">
        <x:v>0</x:v>
      </x:c>
      <x:c r="K177" s="28" t="n">
        <x:f>H177/E177</x:f>
        <x:v>0</x:v>
      </x:c>
      <x:c r="L177" s="28" t="n">
        <x:f>J177/E177</x:f>
        <x:v>0</x:v>
      </x:c>
      <x:c r="M177" s="18" t="str">
        <x:v>中性</x:v>
      </x:c>
    </x:row>
    <x:row r="178">
      <x:c r="A178" s="18" t="str">
        <x:v>学习工作</x:v>
      </x:c>
      <x:c r="B178" s="18" t="str">
        <x:v>视觉触点</x:v>
      </x:c>
      <x:c r="C178" s="18" t="str">
        <x:v>空间氛围</x:v>
      </x:c>
      <x:c r="D178" s="18" t="str">
        <x:v>美观与价值感</x:v>
      </x:c>
      <x:c r="E178" s="26" t="n">
        <x:v>2</x:v>
      </x:c>
      <x:c r="F178" s="28" t="n">
        <x:f>E178/4747</x:f>
        <x:v>0.0004213187276174426</x:v>
      </x:c>
      <x:c r="G178" s="28" t="n">
        <x:f>E178/SUMIF($A$4:$A$256,A178,$E$4:$E$256)</x:f>
        <x:v>0.00641025641025641</x:v>
      </x:c>
      <x:c r="H178" s="26" t="n">
        <x:v>1</x:v>
      </x:c>
      <x:c r="I178" s="26" t="n">
        <x:v>1</x:v>
      </x:c>
      <x:c r="J178" s="26" t="n">
        <x:v>0</x:v>
      </x:c>
      <x:c r="K178" s="28" t="n">
        <x:f>H178/E178</x:f>
        <x:v>0.5</x:v>
      </x:c>
      <x:c r="L178" s="28" t="n">
        <x:f>J178/E178</x:f>
        <x:v>0</x:v>
      </x:c>
      <x:c r="M178" s="18" t="str">
        <x:v>正向</x:v>
      </x:c>
    </x:row>
    <x:row r="179">
      <x:c r="A179" s="18" t="str">
        <x:v>学习工作</x:v>
      </x:c>
      <x:c r="B179" s="18" t="str">
        <x:v>视觉触点</x:v>
      </x:c>
      <x:c r="C179" s="18" t="str">
        <x:v>视觉舒适</x:v>
      </x:c>
      <x:c r="D179" s="18" t="str">
        <x:v>安全感</x:v>
      </x:c>
      <x:c r="E179" s="26" t="n">
        <x:v>2</x:v>
      </x:c>
      <x:c r="F179" s="28" t="n">
        <x:f>E179/4747</x:f>
        <x:v>0.0004213187276174426</x:v>
      </x:c>
      <x:c r="G179" s="28" t="n">
        <x:f>E179/SUMIF($A$4:$A$256,A179,$E$4:$E$256)</x:f>
        <x:v>0.00641025641025641</x:v>
      </x:c>
      <x:c r="H179" s="26" t="n">
        <x:v>1</x:v>
      </x:c>
      <x:c r="I179" s="26" t="n">
        <x:v>1</x:v>
      </x:c>
      <x:c r="J179" s="26" t="n">
        <x:v>0</x:v>
      </x:c>
      <x:c r="K179" s="28" t="n">
        <x:f>H179/E179</x:f>
        <x:v>0.5</x:v>
      </x:c>
      <x:c r="L179" s="28" t="n">
        <x:f>J179/E179</x:f>
        <x:v>0</x:v>
      </x:c>
      <x:c r="M179" s="18" t="str">
        <x:v>正向</x:v>
      </x:c>
    </x:row>
    <x:row r="180">
      <x:c r="A180" s="18" t="str">
        <x:v>无</x:v>
      </x:c>
      <x:c r="B180" s="18" t="str">
        <x:v>触觉/近身质感触点</x:v>
      </x:c>
      <x:c r="C180" s="18" t="str">
        <x:v>做工细节</x:v>
      </x:c>
      <x:c r="D180" s="18" t="str">
        <x:v>无</x:v>
      </x:c>
      <x:c r="E180" s="26" t="n">
        <x:v>2</x:v>
      </x:c>
      <x:c r="F180" s="28" t="n">
        <x:f>E180/4747</x:f>
        <x:v>0.0004213187276174426</x:v>
      </x:c>
      <x:c r="G180" s="28" t="n">
        <x:f>E180/SUMIF($A$4:$A$256,A180,$E$4:$E$256)</x:f>
        <x:v>0.0008507018290089324</x:v>
      </x:c>
      <x:c r="H180" s="26" t="n">
        <x:v>0</x:v>
      </x:c>
      <x:c r="I180" s="26" t="n">
        <x:v>2</x:v>
      </x:c>
      <x:c r="J180" s="26" t="n">
        <x:v>0</x:v>
      </x:c>
      <x:c r="K180" s="28" t="n">
        <x:f>H180/E180</x:f>
        <x:v>0</x:v>
      </x:c>
      <x:c r="L180" s="28" t="n">
        <x:f>J180/E180</x:f>
        <x:v>0</x:v>
      </x:c>
      <x:c r="M180" s="18" t="str">
        <x:v>中性</x:v>
      </x:c>
    </x:row>
    <x:row r="181">
      <x:c r="A181" s="18" t="str">
        <x:v>无</x:v>
      </x:c>
      <x:c r="B181" s="18" t="str">
        <x:v>视觉触点</x:v>
      </x:c>
      <x:c r="C181" s="18" t="str">
        <x:v>空间氛围</x:v>
      </x:c>
      <x:c r="D181" s="18" t="str">
        <x:v>便捷性</x:v>
      </x:c>
      <x:c r="E181" s="26" t="n">
        <x:v>2</x:v>
      </x:c>
      <x:c r="F181" s="28" t="n">
        <x:f>E181/4747</x:f>
        <x:v>0.0004213187276174426</x:v>
      </x:c>
      <x:c r="G181" s="28" t="n">
        <x:f>E181/SUMIF($A$4:$A$256,A181,$E$4:$E$256)</x:f>
        <x:v>0.0008507018290089324</x:v>
      </x:c>
      <x:c r="H181" s="26" t="n">
        <x:v>1</x:v>
      </x:c>
      <x:c r="I181" s="26" t="n">
        <x:v>1</x:v>
      </x:c>
      <x:c r="J181" s="26" t="n">
        <x:v>0</x:v>
      </x:c>
      <x:c r="K181" s="28" t="n">
        <x:f>H181/E181</x:f>
        <x:v>0.5</x:v>
      </x:c>
      <x:c r="L181" s="28" t="n">
        <x:f>J181/E181</x:f>
        <x:v>0</x:v>
      </x:c>
      <x:c r="M181" s="18" t="str">
        <x:v>正向</x:v>
      </x:c>
    </x:row>
    <x:row r="182">
      <x:c r="A182" s="18" t="str">
        <x:v>无</x:v>
      </x:c>
      <x:c r="B182" s="18" t="str">
        <x:v>视觉触点</x:v>
      </x:c>
      <x:c r="C182" s="18" t="str">
        <x:v>风格设计</x:v>
      </x:c>
      <x:c r="D182" s="18" t="str">
        <x:v>无</x:v>
      </x:c>
      <x:c r="E182" s="26" t="n">
        <x:v>2</x:v>
      </x:c>
      <x:c r="F182" s="28" t="n">
        <x:f>E182/4747</x:f>
        <x:v>0.0004213187276174426</x:v>
      </x:c>
      <x:c r="G182" s="28" t="n">
        <x:f>E182/SUMIF($A$4:$A$256,A182,$E$4:$E$256)</x:f>
        <x:v>0.0008507018290089324</x:v>
      </x:c>
      <x:c r="H182" s="26" t="n">
        <x:v>0</x:v>
      </x:c>
      <x:c r="I182" s="26" t="n">
        <x:v>2</x:v>
      </x:c>
      <x:c r="J182" s="26" t="n">
        <x:v>0</x:v>
      </x:c>
      <x:c r="K182" s="28" t="n">
        <x:f>H182/E182</x:f>
        <x:v>0</x:v>
      </x:c>
      <x:c r="L182" s="28" t="n">
        <x:f>J182/E182</x:f>
        <x:v>0</x:v>
      </x:c>
      <x:c r="M182" s="18" t="str">
        <x:v>中性</x:v>
      </x:c>
    </x:row>
    <x:row r="183">
      <x:c r="A183" s="18" t="str">
        <x:v>日常基础照明</x:v>
      </x:c>
      <x:c r="B183" s="18" t="str">
        <x:v>触觉/近身质感触点</x:v>
      </x:c>
      <x:c r="C183" s="18" t="str">
        <x:v>材料质感</x:v>
      </x:c>
      <x:c r="D183" s="18" t="str">
        <x:v>愉悦与氛围感</x:v>
      </x:c>
      <x:c r="E183" s="26" t="n">
        <x:v>2</x:v>
      </x:c>
      <x:c r="F183" s="28" t="n">
        <x:f>E183/4747</x:f>
        <x:v>0.0004213187276174426</x:v>
      </x:c>
      <x:c r="G183" s="28" t="n">
        <x:f>E183/SUMIF($A$4:$A$256,A183,$E$4:$E$256)</x:f>
        <x:v>0.0018298261665141812</x:v>
      </x:c>
      <x:c r="H183" s="26" t="n">
        <x:v>1</x:v>
      </x:c>
      <x:c r="I183" s="26" t="n">
        <x:v>1</x:v>
      </x:c>
      <x:c r="J183" s="26" t="n">
        <x:v>0</x:v>
      </x:c>
      <x:c r="K183" s="28" t="n">
        <x:f>H183/E183</x:f>
        <x:v>0.5</x:v>
      </x:c>
      <x:c r="L183" s="28" t="n">
        <x:f>J183/E183</x:f>
        <x:v>0</x:v>
      </x:c>
      <x:c r="M183" s="18" t="str">
        <x:v>正向</x:v>
      </x:c>
    </x:row>
    <x:row r="184">
      <x:c r="A184" s="18" t="str">
        <x:v>日常基础照明</x:v>
      </x:c>
      <x:c r="B184" s="18" t="str">
        <x:v>视觉触点</x:v>
      </x:c>
      <x:c r="C184" s="18" t="str">
        <x:v>色彩</x:v>
      </x:c>
      <x:c r="D184" s="18" t="str">
        <x:v>便捷性</x:v>
      </x:c>
      <x:c r="E184" s="26" t="n">
        <x:v>2</x:v>
      </x:c>
      <x:c r="F184" s="28" t="n">
        <x:f>E184/4747</x:f>
        <x:v>0.0004213187276174426</x:v>
      </x:c>
      <x:c r="G184" s="28" t="n">
        <x:f>E184/SUMIF($A$4:$A$256,A184,$E$4:$E$256)</x:f>
        <x:v>0.0018298261665141812</x:v>
      </x:c>
      <x:c r="H184" s="26" t="n">
        <x:v>2</x:v>
      </x:c>
      <x:c r="I184" s="26" t="n">
        <x:v>0</x:v>
      </x:c>
      <x:c r="J184" s="26" t="n">
        <x:v>0</x:v>
      </x:c>
      <x:c r="K184" s="28" t="n">
        <x:f>H184/E184</x:f>
        <x:v>1</x:v>
      </x:c>
      <x:c r="L184" s="28" t="n">
        <x:f>J184/E184</x:f>
        <x:v>0</x:v>
      </x:c>
      <x:c r="M184" s="18" t="str">
        <x:v>正向</x:v>
      </x:c>
    </x:row>
    <x:row r="185">
      <x:c r="A185" s="18" t="str">
        <x:v>智能托管</x:v>
      </x:c>
      <x:c r="B185" s="18" t="str">
        <x:v>触觉/近身质感触点</x:v>
      </x:c>
      <x:c r="C185" s="18" t="str">
        <x:v>做工细节</x:v>
      </x:c>
      <x:c r="D185" s="18" t="str">
        <x:v>美观与价值感</x:v>
      </x:c>
      <x:c r="E185" s="26" t="n">
        <x:v>2</x:v>
      </x:c>
      <x:c r="F185" s="28" t="n">
        <x:f>E185/4747</x:f>
        <x:v>0.0004213187276174426</x:v>
      </x:c>
      <x:c r="G185" s="28" t="n">
        <x:f>E185/SUMIF($A$4:$A$256,A185,$E$4:$E$256)</x:f>
        <x:v>0.007067137809187279</x:v>
      </x:c>
      <x:c r="H185" s="26" t="n">
        <x:v>1</x:v>
      </x:c>
      <x:c r="I185" s="26" t="n">
        <x:v>1</x:v>
      </x:c>
      <x:c r="J185" s="26" t="n">
        <x:v>0</x:v>
      </x:c>
      <x:c r="K185" s="28" t="n">
        <x:f>H185/E185</x:f>
        <x:v>0.5</x:v>
      </x:c>
      <x:c r="L185" s="28" t="n">
        <x:f>J185/E185</x:f>
        <x:v>0</x:v>
      </x:c>
      <x:c r="M185" s="18" t="str">
        <x:v>正向</x:v>
      </x:c>
    </x:row>
    <x:row r="186">
      <x:c r="A186" s="18" t="str">
        <x:v>智能托管</x:v>
      </x:c>
      <x:c r="B186" s="18" t="str">
        <x:v>视觉触点</x:v>
      </x:c>
      <x:c r="C186" s="18" t="str">
        <x:v>空间氛围</x:v>
      </x:c>
      <x:c r="D186" s="18" t="str">
        <x:v>美观与价值感</x:v>
      </x:c>
      <x:c r="E186" s="26" t="n">
        <x:v>2</x:v>
      </x:c>
      <x:c r="F186" s="28" t="n">
        <x:f>E186/4747</x:f>
        <x:v>0.0004213187276174426</x:v>
      </x:c>
      <x:c r="G186" s="28" t="n">
        <x:f>E186/SUMIF($A$4:$A$256,A186,$E$4:$E$256)</x:f>
        <x:v>0.007067137809187279</x:v>
      </x:c>
      <x:c r="H186" s="26" t="n">
        <x:v>1</x:v>
      </x:c>
      <x:c r="I186" s="26" t="n">
        <x:v>1</x:v>
      </x:c>
      <x:c r="J186" s="26" t="n">
        <x:v>0</x:v>
      </x:c>
      <x:c r="K186" s="28" t="n">
        <x:f>H186/E186</x:f>
        <x:v>0.5</x:v>
      </x:c>
      <x:c r="L186" s="28" t="n">
        <x:f>J186/E186</x:f>
        <x:v>0</x:v>
      </x:c>
      <x:c r="M186" s="18" t="str">
        <x:v>正向</x:v>
      </x:c>
    </x:row>
    <x:row r="187">
      <x:c r="A187" s="18" t="str">
        <x:v>智能托管</x:v>
      </x:c>
      <x:c r="B187" s="18" t="str">
        <x:v>视觉触点</x:v>
      </x:c>
      <x:c r="C187" s="18" t="str">
        <x:v>色彩</x:v>
      </x:c>
      <x:c r="D187" s="18" t="str">
        <x:v>愉悦与氛围感</x:v>
      </x:c>
      <x:c r="E187" s="26" t="n">
        <x:v>2</x:v>
      </x:c>
      <x:c r="F187" s="28" t="n">
        <x:f>E187/4747</x:f>
        <x:v>0.0004213187276174426</x:v>
      </x:c>
      <x:c r="G187" s="28" t="n">
        <x:f>E187/SUMIF($A$4:$A$256,A187,$E$4:$E$256)</x:f>
        <x:v>0.007067137809187279</x:v>
      </x:c>
      <x:c r="H187" s="26" t="n">
        <x:v>0</x:v>
      </x:c>
      <x:c r="I187" s="26" t="n">
        <x:v>2</x:v>
      </x:c>
      <x:c r="J187" s="26" t="n">
        <x:v>0</x:v>
      </x:c>
      <x:c r="K187" s="28" t="n">
        <x:f>H187/E187</x:f>
        <x:v>0</x:v>
      </x:c>
      <x:c r="L187" s="28" t="n">
        <x:f>J187/E187</x:f>
        <x:v>0</x:v>
      </x:c>
      <x:c r="M187" s="18" t="str">
        <x:v>中性</x:v>
      </x:c>
    </x:row>
    <x:row r="188">
      <x:c r="A188" s="18" t="str">
        <x:v>睡眠与起居</x:v>
      </x:c>
      <x:c r="B188" s="18" t="str">
        <x:v>触觉/近身质感触点</x:v>
      </x:c>
      <x:c r="C188" s="18" t="str">
        <x:v>做工细节</x:v>
      </x:c>
      <x:c r="D188" s="18" t="str">
        <x:v>便捷性</x:v>
      </x:c>
      <x:c r="E188" s="26" t="n">
        <x:v>2</x:v>
      </x:c>
      <x:c r="F188" s="28" t="n">
        <x:f>E188/4747</x:f>
        <x:v>0.0004213187276174426</x:v>
      </x:c>
      <x:c r="G188" s="28" t="n">
        <x:f>E188/SUMIF($A$4:$A$256,A188,$E$4:$E$256)</x:f>
        <x:v>0.004618937644341801</x:v>
      </x:c>
      <x:c r="H188" s="26" t="n">
        <x:v>2</x:v>
      </x:c>
      <x:c r="I188" s="26" t="n">
        <x:v>0</x:v>
      </x:c>
      <x:c r="J188" s="26" t="n">
        <x:v>0</x:v>
      </x:c>
      <x:c r="K188" s="28" t="n">
        <x:f>H188/E188</x:f>
        <x:v>1</x:v>
      </x:c>
      <x:c r="L188" s="28" t="n">
        <x:f>J188/E188</x:f>
        <x:v>0</x:v>
      </x:c>
      <x:c r="M188" s="18" t="str">
        <x:v>正向</x:v>
      </x:c>
    </x:row>
    <x:row r="189">
      <x:c r="A189" s="18" t="str">
        <x:v>睡眠与起居</x:v>
      </x:c>
      <x:c r="B189" s="18" t="str">
        <x:v>视觉触点</x:v>
      </x:c>
      <x:c r="C189" s="18" t="str">
        <x:v>色彩</x:v>
      </x:c>
      <x:c r="D189" s="18" t="str">
        <x:v>便捷性</x:v>
      </x:c>
      <x:c r="E189" s="26" t="n">
        <x:v>2</x:v>
      </x:c>
      <x:c r="F189" s="28" t="n">
        <x:f>E189/4747</x:f>
        <x:v>0.0004213187276174426</x:v>
      </x:c>
      <x:c r="G189" s="28" t="n">
        <x:f>E189/SUMIF($A$4:$A$256,A189,$E$4:$E$256)</x:f>
        <x:v>0.004618937644341801</x:v>
      </x:c>
      <x:c r="H189" s="26" t="n">
        <x:v>1</x:v>
      </x:c>
      <x:c r="I189" s="26" t="n">
        <x:v>1</x:v>
      </x:c>
      <x:c r="J189" s="26" t="n">
        <x:v>0</x:v>
      </x:c>
      <x:c r="K189" s="28" t="n">
        <x:f>H189/E189</x:f>
        <x:v>0.5</x:v>
      </x:c>
      <x:c r="L189" s="28" t="n">
        <x:f>J189/E189</x:f>
        <x:v>0</x:v>
      </x:c>
      <x:c r="M189" s="18" t="str">
        <x:v>正向</x:v>
      </x:c>
    </x:row>
    <x:row r="190">
      <x:c r="A190" s="18" t="str">
        <x:v>睡眠与起居</x:v>
      </x:c>
      <x:c r="B190" s="18" t="str">
        <x:v>视觉触点</x:v>
      </x:c>
      <x:c r="C190" s="18" t="str">
        <x:v>色彩</x:v>
      </x:c>
      <x:c r="D190" s="18" t="str">
        <x:v>愉悦与氛围感</x:v>
      </x:c>
      <x:c r="E190" s="26" t="n">
        <x:v>2</x:v>
      </x:c>
      <x:c r="F190" s="28" t="n">
        <x:f>E190/4747</x:f>
        <x:v>0.0004213187276174426</x:v>
      </x:c>
      <x:c r="G190" s="28" t="n">
        <x:f>E190/SUMIF($A$4:$A$256,A190,$E$4:$E$256)</x:f>
        <x:v>0.004618937644341801</x:v>
      </x:c>
      <x:c r="H190" s="26" t="n">
        <x:v>2</x:v>
      </x:c>
      <x:c r="I190" s="26" t="n">
        <x:v>0</x:v>
      </x:c>
      <x:c r="J190" s="26" t="n">
        <x:v>0</x:v>
      </x:c>
      <x:c r="K190" s="28" t="n">
        <x:f>H190/E190</x:f>
        <x:v>1</x:v>
      </x:c>
      <x:c r="L190" s="28" t="n">
        <x:f>J190/E190</x:f>
        <x:v>0</x:v>
      </x:c>
      <x:c r="M190" s="18" t="str">
        <x:v>正向</x:v>
      </x:c>
    </x:row>
    <x:row r="191">
      <x:c r="A191" s="18" t="str">
        <x:v>睡眠与起居</x:v>
      </x:c>
      <x:c r="B191" s="18" t="str">
        <x:v>视觉触点</x:v>
      </x:c>
      <x:c r="C191" s="18" t="str">
        <x:v>视觉舒适</x:v>
      </x:c>
      <x:c r="D191" s="18" t="str">
        <x:v>美观与价值感</x:v>
      </x:c>
      <x:c r="E191" s="26" t="n">
        <x:v>2</x:v>
      </x:c>
      <x:c r="F191" s="28" t="n">
        <x:f>E191/4747</x:f>
        <x:v>0.0004213187276174426</x:v>
      </x:c>
      <x:c r="G191" s="28" t="n">
        <x:f>E191/SUMIF($A$4:$A$256,A191,$E$4:$E$256)</x:f>
        <x:v>0.004618937644341801</x:v>
      </x:c>
      <x:c r="H191" s="26" t="n">
        <x:v>0</x:v>
      </x:c>
      <x:c r="I191" s="26" t="n">
        <x:v>2</x:v>
      </x:c>
      <x:c r="J191" s="26" t="n">
        <x:v>0</x:v>
      </x:c>
      <x:c r="K191" s="28" t="n">
        <x:f>H191/E191</x:f>
        <x:v>0</x:v>
      </x:c>
      <x:c r="L191" s="28" t="n">
        <x:f>J191/E191</x:f>
        <x:v>0</x:v>
      </x:c>
      <x:c r="M191" s="18" t="str">
        <x:v>中性</x:v>
      </x:c>
    </x:row>
    <x:row r="192">
      <x:c r="A192" s="18" t="str">
        <x:v>亲子互动陪伴</x:v>
      </x:c>
      <x:c r="B192" s="18" t="str">
        <x:v>操作交互触点</x:v>
      </x:c>
      <x:c r="C192" s="18" t="str">
        <x:v>交互功能</x:v>
      </x:c>
      <x:c r="D192" s="18" t="str">
        <x:v>无</x:v>
      </x:c>
      <x:c r="E192" s="26" t="n">
        <x:v>1</x:v>
      </x:c>
      <x:c r="F192" s="28" t="n">
        <x:f>E192/4747</x:f>
        <x:v>0.0002106593638087213</x:v>
      </x:c>
      <x:c r="G192" s="28" t="n">
        <x:f>E192/SUMIF($A$4:$A$256,A192,$E$4:$E$256)</x:f>
        <x:v>0.015625</x:v>
      </x:c>
      <x:c r="H192" s="26" t="n">
        <x:v>0</x:v>
      </x:c>
      <x:c r="I192" s="26" t="n">
        <x:v>1</x:v>
      </x:c>
      <x:c r="J192" s="26" t="n">
        <x:v>0</x:v>
      </x:c>
      <x:c r="K192" s="28" t="n">
        <x:f>H192/E192</x:f>
        <x:v>0</x:v>
      </x:c>
      <x:c r="L192" s="28" t="n">
        <x:f>J192/E192</x:f>
        <x:v>0</x:v>
      </x:c>
      <x:c r="M192" s="18" t="str">
        <x:v>中性</x:v>
      </x:c>
    </x:row>
    <x:row r="193">
      <x:c r="A193" s="18" t="str">
        <x:v>亲子互动陪伴</x:v>
      </x:c>
      <x:c r="B193" s="18" t="str">
        <x:v>视觉触点</x:v>
      </x:c>
      <x:c r="C193" s="18" t="str">
        <x:v>形体造型</x:v>
      </x:c>
      <x:c r="D193" s="18" t="str">
        <x:v>愉悦与氛围感</x:v>
      </x:c>
      <x:c r="E193" s="26" t="n">
        <x:v>1</x:v>
      </x:c>
      <x:c r="F193" s="28" t="n">
        <x:f>E193/4747</x:f>
        <x:v>0.0002106593638087213</x:v>
      </x:c>
      <x:c r="G193" s="28" t="n">
        <x:f>E193/SUMIF($A$4:$A$256,A193,$E$4:$E$256)</x:f>
        <x:v>0.015625</x:v>
      </x:c>
      <x:c r="H193" s="26" t="n">
        <x:v>1</x:v>
      </x:c>
      <x:c r="I193" s="26" t="n">
        <x:v>0</x:v>
      </x:c>
      <x:c r="J193" s="26" t="n">
        <x:v>0</x:v>
      </x:c>
      <x:c r="K193" s="28" t="n">
        <x:f>H193/E193</x:f>
        <x:v>1</x:v>
      </x:c>
      <x:c r="L193" s="28" t="n">
        <x:f>J193/E193</x:f>
        <x:v>0</x:v>
      </x:c>
      <x:c r="M193" s="18" t="str">
        <x:v>正向</x:v>
      </x:c>
    </x:row>
    <x:row r="194">
      <x:c r="A194" s="18" t="str">
        <x:v>亲子互动陪伴</x:v>
      </x:c>
      <x:c r="B194" s="18" t="str">
        <x:v>视觉触点</x:v>
      </x:c>
      <x:c r="C194" s="18" t="str">
        <x:v>照明与色调</x:v>
      </x:c>
      <x:c r="D194" s="18" t="str">
        <x:v>专注</x:v>
      </x:c>
      <x:c r="E194" s="26" t="n">
        <x:v>1</x:v>
      </x:c>
      <x:c r="F194" s="28" t="n">
        <x:f>E194/4747</x:f>
        <x:v>0.0002106593638087213</x:v>
      </x:c>
      <x:c r="G194" s="28" t="n">
        <x:f>E194/SUMIF($A$4:$A$256,A194,$E$4:$E$256)</x:f>
        <x:v>0.015625</x:v>
      </x:c>
      <x:c r="H194" s="26" t="n">
        <x:v>1</x:v>
      </x:c>
      <x:c r="I194" s="26" t="n">
        <x:v>0</x:v>
      </x:c>
      <x:c r="J194" s="26" t="n">
        <x:v>0</x:v>
      </x:c>
      <x:c r="K194" s="28" t="n">
        <x:f>H194/E194</x:f>
        <x:v>1</x:v>
      </x:c>
      <x:c r="L194" s="28" t="n">
        <x:f>J194/E194</x:f>
        <x:v>0</x:v>
      </x:c>
      <x:c r="M194" s="18" t="str">
        <x:v>正向</x:v>
      </x:c>
    </x:row>
    <x:row r="195">
      <x:c r="A195" s="18" t="str">
        <x:v>亲子互动陪伴</x:v>
      </x:c>
      <x:c r="B195" s="18" t="str">
        <x:v>视觉触点</x:v>
      </x:c>
      <x:c r="C195" s="18" t="str">
        <x:v>照明与色调</x:v>
      </x:c>
      <x:c r="D195" s="18" t="str">
        <x:v>美观与价值感</x:v>
      </x:c>
      <x:c r="E195" s="26" t="n">
        <x:v>1</x:v>
      </x:c>
      <x:c r="F195" s="28" t="n">
        <x:f>E195/4747</x:f>
        <x:v>0.0002106593638087213</x:v>
      </x:c>
      <x:c r="G195" s="28" t="n">
        <x:f>E195/SUMIF($A$4:$A$256,A195,$E$4:$E$256)</x:f>
        <x:v>0.015625</x:v>
      </x:c>
      <x:c r="H195" s="26" t="n">
        <x:v>0</x:v>
      </x:c>
      <x:c r="I195" s="26" t="n">
        <x:v>1</x:v>
      </x:c>
      <x:c r="J195" s="26" t="n">
        <x:v>0</x:v>
      </x:c>
      <x:c r="K195" s="28" t="n">
        <x:f>H195/E195</x:f>
        <x:v>0</x:v>
      </x:c>
      <x:c r="L195" s="28" t="n">
        <x:f>J195/E195</x:f>
        <x:v>0</x:v>
      </x:c>
      <x:c r="M195" s="18" t="str">
        <x:v>中性</x:v>
      </x:c>
    </x:row>
    <x:row r="196">
      <x:c r="A196" s="18" t="str">
        <x:v>亲子互动陪伴</x:v>
      </x:c>
      <x:c r="B196" s="18" t="str">
        <x:v>视觉触点</x:v>
      </x:c>
      <x:c r="C196" s="18" t="str">
        <x:v>空间氛围</x:v>
      </x:c>
      <x:c r="D196" s="18" t="str">
        <x:v>愉悦与氛围感</x:v>
      </x:c>
      <x:c r="E196" s="26" t="n">
        <x:v>1</x:v>
      </x:c>
      <x:c r="F196" s="28" t="n">
        <x:f>E196/4747</x:f>
        <x:v>0.0002106593638087213</x:v>
      </x:c>
      <x:c r="G196" s="28" t="n">
        <x:f>E196/SUMIF($A$4:$A$256,A196,$E$4:$E$256)</x:f>
        <x:v>0.015625</x:v>
      </x:c>
      <x:c r="H196" s="26" t="n">
        <x:v>1</x:v>
      </x:c>
      <x:c r="I196" s="26" t="n">
        <x:v>0</x:v>
      </x:c>
      <x:c r="J196" s="26" t="n">
        <x:v>0</x:v>
      </x:c>
      <x:c r="K196" s="28" t="n">
        <x:f>H196/E196</x:f>
        <x:v>1</x:v>
      </x:c>
      <x:c r="L196" s="28" t="n">
        <x:f>J196/E196</x:f>
        <x:v>0</x:v>
      </x:c>
      <x:c r="M196" s="18" t="str">
        <x:v>正向</x:v>
      </x:c>
    </x:row>
    <x:row r="197">
      <x:c r="A197" s="18" t="str">
        <x:v>亲子互动陪伴</x:v>
      </x:c>
      <x:c r="B197" s="18" t="str">
        <x:v>视觉触点</x:v>
      </x:c>
      <x:c r="C197" s="18" t="str">
        <x:v>色彩</x:v>
      </x:c>
      <x:c r="D197" s="18" t="str">
        <x:v>舒适感</x:v>
      </x:c>
      <x:c r="E197" s="26" t="n">
        <x:v>1</x:v>
      </x:c>
      <x:c r="F197" s="28" t="n">
        <x:f>E197/4747</x:f>
        <x:v>0.0002106593638087213</x:v>
      </x:c>
      <x:c r="G197" s="28" t="n">
        <x:f>E197/SUMIF($A$4:$A$256,A197,$E$4:$E$256)</x:f>
        <x:v>0.015625</x:v>
      </x:c>
      <x:c r="H197" s="26" t="n">
        <x:v>1</x:v>
      </x:c>
      <x:c r="I197" s="26" t="n">
        <x:v>0</x:v>
      </x:c>
      <x:c r="J197" s="26" t="n">
        <x:v>0</x:v>
      </x:c>
      <x:c r="K197" s="28" t="n">
        <x:f>H197/E197</x:f>
        <x:v>1</x:v>
      </x:c>
      <x:c r="L197" s="28" t="n">
        <x:f>J197/E197</x:f>
        <x:v>0</x:v>
      </x:c>
      <x:c r="M197" s="18" t="str">
        <x:v>正向</x:v>
      </x:c>
    </x:row>
    <x:row r="198">
      <x:c r="A198" s="18" t="str">
        <x:v>亲子互动陪伴</x:v>
      </x:c>
      <x:c r="B198" s="18" t="str">
        <x:v>视觉触点</x:v>
      </x:c>
      <x:c r="C198" s="18" t="str">
        <x:v>视觉舒适</x:v>
      </x:c>
      <x:c r="D198" s="18" t="str">
        <x:v>专注</x:v>
      </x:c>
      <x:c r="E198" s="26" t="n">
        <x:v>1</x:v>
      </x:c>
      <x:c r="F198" s="28" t="n">
        <x:f>E198/4747</x:f>
        <x:v>0.0002106593638087213</x:v>
      </x:c>
      <x:c r="G198" s="28" t="n">
        <x:f>E198/SUMIF($A$4:$A$256,A198,$E$4:$E$256)</x:f>
        <x:v>0.015625</x:v>
      </x:c>
      <x:c r="H198" s="26" t="n">
        <x:v>1</x:v>
      </x:c>
      <x:c r="I198" s="26" t="n">
        <x:v>0</x:v>
      </x:c>
      <x:c r="J198" s="26" t="n">
        <x:v>0</x:v>
      </x:c>
      <x:c r="K198" s="28" t="n">
        <x:f>H198/E198</x:f>
        <x:v>1</x:v>
      </x:c>
      <x:c r="L198" s="28" t="n">
        <x:f>J198/E198</x:f>
        <x:v>0</x:v>
      </x:c>
      <x:c r="M198" s="18" t="str">
        <x:v>正向</x:v>
      </x:c>
    </x:row>
    <x:row r="199">
      <x:c r="A199" s="18" t="str">
        <x:v>亲子互动陪伴</x:v>
      </x:c>
      <x:c r="B199" s="18" t="str">
        <x:v>视觉触点</x:v>
      </x:c>
      <x:c r="C199" s="18" t="str">
        <x:v>视觉舒适</x:v>
      </x:c>
      <x:c r="D199" s="18" t="str">
        <x:v>便捷性</x:v>
      </x:c>
      <x:c r="E199" s="26" t="n">
        <x:v>1</x:v>
      </x:c>
      <x:c r="F199" s="28" t="n">
        <x:f>E199/4747</x:f>
        <x:v>0.0002106593638087213</x:v>
      </x:c>
      <x:c r="G199" s="28" t="n">
        <x:f>E199/SUMIF($A$4:$A$256,A199,$E$4:$E$256)</x:f>
        <x:v>0.015625</x:v>
      </x:c>
      <x:c r="H199" s="26" t="n">
        <x:v>1</x:v>
      </x:c>
      <x:c r="I199" s="26" t="n">
        <x:v>0</x:v>
      </x:c>
      <x:c r="J199" s="26" t="n">
        <x:v>0</x:v>
      </x:c>
      <x:c r="K199" s="28" t="n">
        <x:f>H199/E199</x:f>
        <x:v>1</x:v>
      </x:c>
      <x:c r="L199" s="28" t="n">
        <x:f>J199/E199</x:f>
        <x:v>0</x:v>
      </x:c>
      <x:c r="M199" s="18" t="str">
        <x:v>正向</x:v>
      </x:c>
    </x:row>
    <x:row r="200">
      <x:c r="A200" s="18" t="str">
        <x:v>休闲娱乐</x:v>
      </x:c>
      <x:c r="B200" s="18" t="str">
        <x:v>触觉/近身质感触点</x:v>
      </x:c>
      <x:c r="C200" s="18" t="str">
        <x:v>做工细节</x:v>
      </x:c>
      <x:c r="D200" s="18" t="str">
        <x:v>便捷性</x:v>
      </x:c>
      <x:c r="E200" s="26" t="n">
        <x:v>1</x:v>
      </x:c>
      <x:c r="F200" s="28" t="n">
        <x:f>E200/4747</x:f>
        <x:v>0.0002106593638087213</x:v>
      </x:c>
      <x:c r="G200" s="28" t="n">
        <x:f>E200/SUMIF($A$4:$A$256,A200,$E$4:$E$256)</x:f>
        <x:v>0.004739336492890996</x:v>
      </x:c>
      <x:c r="H200" s="26" t="n">
        <x:v>1</x:v>
      </x:c>
      <x:c r="I200" s="26" t="n">
        <x:v>0</x:v>
      </x:c>
      <x:c r="J200" s="26" t="n">
        <x:v>0</x:v>
      </x:c>
      <x:c r="K200" s="28" t="n">
        <x:f>H200/E200</x:f>
        <x:v>1</x:v>
      </x:c>
      <x:c r="L200" s="28" t="n">
        <x:f>J200/E200</x:f>
        <x:v>0</x:v>
      </x:c>
      <x:c r="M200" s="18" t="str">
        <x:v>正向</x:v>
      </x:c>
    </x:row>
    <x:row r="201">
      <x:c r="A201" s="18" t="str">
        <x:v>休闲娱乐</x:v>
      </x:c>
      <x:c r="B201" s="18" t="str">
        <x:v>触觉/近身质感触点</x:v>
      </x:c>
      <x:c r="C201" s="18" t="str">
        <x:v>做工细节</x:v>
      </x:c>
      <x:c r="D201" s="18" t="str">
        <x:v>美观与价值感</x:v>
      </x:c>
      <x:c r="E201" s="26" t="n">
        <x:v>1</x:v>
      </x:c>
      <x:c r="F201" s="28" t="n">
        <x:f>E201/4747</x:f>
        <x:v>0.0002106593638087213</x:v>
      </x:c>
      <x:c r="G201" s="28" t="n">
        <x:f>E201/SUMIF($A$4:$A$256,A201,$E$4:$E$256)</x:f>
        <x:v>0.004739336492890996</x:v>
      </x:c>
      <x:c r="H201" s="26" t="n">
        <x:v>0</x:v>
      </x:c>
      <x:c r="I201" s="26" t="n">
        <x:v>1</x:v>
      </x:c>
      <x:c r="J201" s="26" t="n">
        <x:v>0</x:v>
      </x:c>
      <x:c r="K201" s="28" t="n">
        <x:f>H201/E201</x:f>
        <x:v>0</x:v>
      </x:c>
      <x:c r="L201" s="28" t="n">
        <x:f>J201/E201</x:f>
        <x:v>0</x:v>
      </x:c>
      <x:c r="M201" s="18" t="str">
        <x:v>中性</x:v>
      </x:c>
    </x:row>
    <x:row r="202">
      <x:c r="A202" s="18" t="str">
        <x:v>休闲娱乐</x:v>
      </x:c>
      <x:c r="B202" s="18" t="str">
        <x:v>视觉触点</x:v>
      </x:c>
      <x:c r="C202" s="18" t="str">
        <x:v>照明与色调</x:v>
      </x:c>
      <x:c r="D202" s="18" t="str">
        <x:v>美观与价值感</x:v>
      </x:c>
      <x:c r="E202" s="26" t="n">
        <x:v>1</x:v>
      </x:c>
      <x:c r="F202" s="28" t="n">
        <x:f>E202/4747</x:f>
        <x:v>0.0002106593638087213</x:v>
      </x:c>
      <x:c r="G202" s="28" t="n">
        <x:f>E202/SUMIF($A$4:$A$256,A202,$E$4:$E$256)</x:f>
        <x:v>0.004739336492890996</x:v>
      </x:c>
      <x:c r="H202" s="26" t="n">
        <x:v>0</x:v>
      </x:c>
      <x:c r="I202" s="26" t="n">
        <x:v>1</x:v>
      </x:c>
      <x:c r="J202" s="26" t="n">
        <x:v>0</x:v>
      </x:c>
      <x:c r="K202" s="28" t="n">
        <x:f>H202/E202</x:f>
        <x:v>0</x:v>
      </x:c>
      <x:c r="L202" s="28" t="n">
        <x:f>J202/E202</x:f>
        <x:v>0</x:v>
      </x:c>
      <x:c r="M202" s="18" t="str">
        <x:v>中性</x:v>
      </x:c>
    </x:row>
    <x:row r="203">
      <x:c r="A203" s="18" t="str">
        <x:v>休闲娱乐</x:v>
      </x:c>
      <x:c r="B203" s="18" t="str">
        <x:v>视觉触点</x:v>
      </x:c>
      <x:c r="C203" s="18" t="str">
        <x:v>空间氛围</x:v>
      </x:c>
      <x:c r="D203" s="18" t="str">
        <x:v>无</x:v>
      </x:c>
      <x:c r="E203" s="26" t="n">
        <x:v>1</x:v>
      </x:c>
      <x:c r="F203" s="28" t="n">
        <x:f>E203/4747</x:f>
        <x:v>0.0002106593638087213</x:v>
      </x:c>
      <x:c r="G203" s="28" t="n">
        <x:f>E203/SUMIF($A$4:$A$256,A203,$E$4:$E$256)</x:f>
        <x:v>0.004739336492890996</x:v>
      </x:c>
      <x:c r="H203" s="26" t="n">
        <x:v>0</x:v>
      </x:c>
      <x:c r="I203" s="26" t="n">
        <x:v>1</x:v>
      </x:c>
      <x:c r="J203" s="26" t="n">
        <x:v>0</x:v>
      </x:c>
      <x:c r="K203" s="28" t="n">
        <x:f>H203/E203</x:f>
        <x:v>0</x:v>
      </x:c>
      <x:c r="L203" s="28" t="n">
        <x:f>J203/E203</x:f>
        <x:v>0</x:v>
      </x:c>
      <x:c r="M203" s="18" t="str">
        <x:v>中性</x:v>
      </x:c>
    </x:row>
    <x:row r="204">
      <x:c r="A204" s="18" t="str">
        <x:v>休闲娱乐</x:v>
      </x:c>
      <x:c r="B204" s="18" t="str">
        <x:v>视觉触点</x:v>
      </x:c>
      <x:c r="C204" s="18" t="str">
        <x:v>空间氛围</x:v>
      </x:c>
      <x:c r="D204" s="18" t="str">
        <x:v>美观与价值感</x:v>
      </x:c>
      <x:c r="E204" s="26" t="n">
        <x:v>1</x:v>
      </x:c>
      <x:c r="F204" s="28" t="n">
        <x:f>E204/4747</x:f>
        <x:v>0.0002106593638087213</x:v>
      </x:c>
      <x:c r="G204" s="28" t="n">
        <x:f>E204/SUMIF($A$4:$A$256,A204,$E$4:$E$256)</x:f>
        <x:v>0.004739336492890996</x:v>
      </x:c>
      <x:c r="H204" s="26" t="n">
        <x:v>0</x:v>
      </x:c>
      <x:c r="I204" s="26" t="n">
        <x:v>1</x:v>
      </x:c>
      <x:c r="J204" s="26" t="n">
        <x:v>0</x:v>
      </x:c>
      <x:c r="K204" s="28" t="n">
        <x:f>H204/E204</x:f>
        <x:v>0</x:v>
      </x:c>
      <x:c r="L204" s="28" t="n">
        <x:f>J204/E204</x:f>
        <x:v>0</x:v>
      </x:c>
      <x:c r="M204" s="18" t="str">
        <x:v>中性</x:v>
      </x:c>
    </x:row>
    <x:row r="205">
      <x:c r="A205" s="18" t="str">
        <x:v>休闲娱乐</x:v>
      </x:c>
      <x:c r="B205" s="18" t="str">
        <x:v>视觉触点</x:v>
      </x:c>
      <x:c r="C205" s="18" t="str">
        <x:v>色彩</x:v>
      </x:c>
      <x:c r="D205" s="18" t="str">
        <x:v>愉悦与氛围感</x:v>
      </x:c>
      <x:c r="E205" s="26" t="n">
        <x:v>1</x:v>
      </x:c>
      <x:c r="F205" s="28" t="n">
        <x:f>E205/4747</x:f>
        <x:v>0.0002106593638087213</x:v>
      </x:c>
      <x:c r="G205" s="28" t="n">
        <x:f>E205/SUMIF($A$4:$A$256,A205,$E$4:$E$256)</x:f>
        <x:v>0.004739336492890996</x:v>
      </x:c>
      <x:c r="H205" s="26" t="n">
        <x:v>1</x:v>
      </x:c>
      <x:c r="I205" s="26" t="n">
        <x:v>0</x:v>
      </x:c>
      <x:c r="J205" s="26" t="n">
        <x:v>0</x:v>
      </x:c>
      <x:c r="K205" s="28" t="n">
        <x:f>H205/E205</x:f>
        <x:v>1</x:v>
      </x:c>
      <x:c r="L205" s="28" t="n">
        <x:f>J205/E205</x:f>
        <x:v>0</x:v>
      </x:c>
      <x:c r="M205" s="18" t="str">
        <x:v>正向</x:v>
      </x:c>
    </x:row>
    <x:row r="206">
      <x:c r="A206" s="18" t="str">
        <x:v>休闲娱乐</x:v>
      </x:c>
      <x:c r="B206" s="18" t="str">
        <x:v>视觉触点</x:v>
      </x:c>
      <x:c r="C206" s="18" t="str">
        <x:v>视觉舒适</x:v>
      </x:c>
      <x:c r="D206" s="18" t="str">
        <x:v>便捷性</x:v>
      </x:c>
      <x:c r="E206" s="26" t="n">
        <x:v>1</x:v>
      </x:c>
      <x:c r="F206" s="28" t="n">
        <x:f>E206/4747</x:f>
        <x:v>0.0002106593638087213</x:v>
      </x:c>
      <x:c r="G206" s="28" t="n">
        <x:f>E206/SUMIF($A$4:$A$256,A206,$E$4:$E$256)</x:f>
        <x:v>0.004739336492890996</x:v>
      </x:c>
      <x:c r="H206" s="26" t="n">
        <x:v>0</x:v>
      </x:c>
      <x:c r="I206" s="26" t="n">
        <x:v>1</x:v>
      </x:c>
      <x:c r="J206" s="26" t="n">
        <x:v>0</x:v>
      </x:c>
      <x:c r="K206" s="28" t="n">
        <x:f>H206/E206</x:f>
        <x:v>0</x:v>
      </x:c>
      <x:c r="L206" s="28" t="n">
        <x:f>J206/E206</x:f>
        <x:v>0</x:v>
      </x:c>
      <x:c r="M206" s="18" t="str">
        <x:v>中性</x:v>
      </x:c>
    </x:row>
    <x:row r="207">
      <x:c r="A207" s="18" t="str">
        <x:v>休闲娱乐</x:v>
      </x:c>
      <x:c r="B207" s="18" t="str">
        <x:v>视觉触点</x:v>
      </x:c>
      <x:c r="C207" s="18" t="str">
        <x:v>风格设计</x:v>
      </x:c>
      <x:c r="D207" s="18" t="str">
        <x:v>便捷性</x:v>
      </x:c>
      <x:c r="E207" s="26" t="n">
        <x:v>1</x:v>
      </x:c>
      <x:c r="F207" s="28" t="n">
        <x:f>E207/4747</x:f>
        <x:v>0.0002106593638087213</x:v>
      </x:c>
      <x:c r="G207" s="28" t="n">
        <x:f>E207/SUMIF($A$4:$A$256,A207,$E$4:$E$256)</x:f>
        <x:v>0.004739336492890996</x:v>
      </x:c>
      <x:c r="H207" s="26" t="n">
        <x:v>1</x:v>
      </x:c>
      <x:c r="I207" s="26" t="n">
        <x:v>0</x:v>
      </x:c>
      <x:c r="J207" s="26" t="n">
        <x:v>0</x:v>
      </x:c>
      <x:c r="K207" s="28" t="n">
        <x:f>H207/E207</x:f>
        <x:v>1</x:v>
      </x:c>
      <x:c r="L207" s="28" t="n">
        <x:f>J207/E207</x:f>
        <x:v>0</x:v>
      </x:c>
      <x:c r="M207" s="18" t="str">
        <x:v>正向</x:v>
      </x:c>
    </x:row>
    <x:row r="208">
      <x:c r="A208" s="18" t="str">
        <x:v>休闲娱乐</x:v>
      </x:c>
      <x:c r="B208" s="18" t="str">
        <x:v>视觉触点</x:v>
      </x:c>
      <x:c r="C208" s="18" t="str">
        <x:v>风格设计</x:v>
      </x:c>
      <x:c r="D208" s="18" t="str">
        <x:v>美观与价值感</x:v>
      </x:c>
      <x:c r="E208" s="26" t="n">
        <x:v>1</x:v>
      </x:c>
      <x:c r="F208" s="28" t="n">
        <x:f>E208/4747</x:f>
        <x:v>0.0002106593638087213</x:v>
      </x:c>
      <x:c r="G208" s="28" t="n">
        <x:f>E208/SUMIF($A$4:$A$256,A208,$E$4:$E$256)</x:f>
        <x:v>0.004739336492890996</x:v>
      </x:c>
      <x:c r="H208" s="26" t="n">
        <x:v>0</x:v>
      </x:c>
      <x:c r="I208" s="26" t="n">
        <x:v>1</x:v>
      </x:c>
      <x:c r="J208" s="26" t="n">
        <x:v>0</x:v>
      </x:c>
      <x:c r="K208" s="28" t="n">
        <x:f>H208/E208</x:f>
        <x:v>0</x:v>
      </x:c>
      <x:c r="L208" s="28" t="n">
        <x:f>J208/E208</x:f>
        <x:v>0</x:v>
      </x:c>
      <x:c r="M208" s="18" t="str">
        <x:v>中性</x:v>
      </x:c>
    </x:row>
    <x:row r="209">
      <x:c r="A209" s="18" t="str">
        <x:v>学习工作</x:v>
      </x:c>
      <x:c r="B209" s="18" t="str">
        <x:v>操作交互触点</x:v>
      </x:c>
      <x:c r="C209" s="18" t="str">
        <x:v>交互功能</x:v>
      </x:c>
      <x:c r="D209" s="18" t="str">
        <x:v>美观与价值感</x:v>
      </x:c>
      <x:c r="E209" s="26" t="n">
        <x:v>1</x:v>
      </x:c>
      <x:c r="F209" s="28" t="n">
        <x:f>E209/4747</x:f>
        <x:v>0.0002106593638087213</x:v>
      </x:c>
      <x:c r="G209" s="28" t="n">
        <x:f>E209/SUMIF($A$4:$A$256,A209,$E$4:$E$256)</x:f>
        <x:v>0.003205128205128205</x:v>
      </x:c>
      <x:c r="H209" s="26" t="n">
        <x:v>1</x:v>
      </x:c>
      <x:c r="I209" s="26" t="n">
        <x:v>0</x:v>
      </x:c>
      <x:c r="J209" s="26" t="n">
        <x:v>0</x:v>
      </x:c>
      <x:c r="K209" s="28" t="n">
        <x:f>H209/E209</x:f>
        <x:v>1</x:v>
      </x:c>
      <x:c r="L209" s="28" t="n">
        <x:f>J209/E209</x:f>
        <x:v>0</x:v>
      </x:c>
      <x:c r="M209" s="18" t="str">
        <x:v>正向</x:v>
      </x:c>
    </x:row>
    <x:row r="210">
      <x:c r="A210" s="18" t="str">
        <x:v>学习工作</x:v>
      </x:c>
      <x:c r="B210" s="18" t="str">
        <x:v>触觉/近身质感触点</x:v>
      </x:c>
      <x:c r="C210" s="18" t="str">
        <x:v>做工细节</x:v>
      </x:c>
      <x:c r="D210" s="18" t="str">
        <x:v>舒适感</x:v>
      </x:c>
      <x:c r="E210" s="26" t="n">
        <x:v>1</x:v>
      </x:c>
      <x:c r="F210" s="28" t="n">
        <x:f>E210/4747</x:f>
        <x:v>0.0002106593638087213</x:v>
      </x:c>
      <x:c r="G210" s="28" t="n">
        <x:f>E210/SUMIF($A$4:$A$256,A210,$E$4:$E$256)</x:f>
        <x:v>0.003205128205128205</x:v>
      </x:c>
      <x:c r="H210" s="26" t="n">
        <x:v>0</x:v>
      </x:c>
      <x:c r="I210" s="26" t="n">
        <x:v>1</x:v>
      </x:c>
      <x:c r="J210" s="26" t="n">
        <x:v>0</x:v>
      </x:c>
      <x:c r="K210" s="28" t="n">
        <x:f>H210/E210</x:f>
        <x:v>0</x:v>
      </x:c>
      <x:c r="L210" s="28" t="n">
        <x:f>J210/E210</x:f>
        <x:v>0</x:v>
      </x:c>
      <x:c r="M210" s="18" t="str">
        <x:v>中性</x:v>
      </x:c>
    </x:row>
    <x:row r="211">
      <x:c r="A211" s="18" t="str">
        <x:v>学习工作</x:v>
      </x:c>
      <x:c r="B211" s="18" t="str">
        <x:v>视觉触点</x:v>
      </x:c>
      <x:c r="C211" s="18" t="str">
        <x:v>形体造型</x:v>
      </x:c>
      <x:c r="D211" s="18" t="str">
        <x:v>专注</x:v>
      </x:c>
      <x:c r="E211" s="26" t="n">
        <x:v>1</x:v>
      </x:c>
      <x:c r="F211" s="28" t="n">
        <x:f>E211/4747</x:f>
        <x:v>0.0002106593638087213</x:v>
      </x:c>
      <x:c r="G211" s="28" t="n">
        <x:f>E211/SUMIF($A$4:$A$256,A211,$E$4:$E$256)</x:f>
        <x:v>0.003205128205128205</x:v>
      </x:c>
      <x:c r="H211" s="26" t="n">
        <x:v>1</x:v>
      </x:c>
      <x:c r="I211" s="26" t="n">
        <x:v>0</x:v>
      </x:c>
      <x:c r="J211" s="26" t="n">
        <x:v>0</x:v>
      </x:c>
      <x:c r="K211" s="28" t="n">
        <x:f>H211/E211</x:f>
        <x:v>1</x:v>
      </x:c>
      <x:c r="L211" s="28" t="n">
        <x:f>J211/E211</x:f>
        <x:v>0</x:v>
      </x:c>
      <x:c r="M211" s="18" t="str">
        <x:v>正向</x:v>
      </x:c>
    </x:row>
    <x:row r="212">
      <x:c r="A212" s="18" t="str">
        <x:v>学习工作</x:v>
      </x:c>
      <x:c r="B212" s="18" t="str">
        <x:v>视觉触点</x:v>
      </x:c>
      <x:c r="C212" s="18" t="str">
        <x:v>形体造型</x:v>
      </x:c>
      <x:c r="D212" s="18" t="str">
        <x:v>便捷性</x:v>
      </x:c>
      <x:c r="E212" s="26" t="n">
        <x:v>1</x:v>
      </x:c>
      <x:c r="F212" s="28" t="n">
        <x:f>E212/4747</x:f>
        <x:v>0.0002106593638087213</x:v>
      </x:c>
      <x:c r="G212" s="28" t="n">
        <x:f>E212/SUMIF($A$4:$A$256,A212,$E$4:$E$256)</x:f>
        <x:v>0.003205128205128205</x:v>
      </x:c>
      <x:c r="H212" s="26" t="n">
        <x:v>1</x:v>
      </x:c>
      <x:c r="I212" s="26" t="n">
        <x:v>0</x:v>
      </x:c>
      <x:c r="J212" s="26" t="n">
        <x:v>0</x:v>
      </x:c>
      <x:c r="K212" s="28" t="n">
        <x:f>H212/E212</x:f>
        <x:v>1</x:v>
      </x:c>
      <x:c r="L212" s="28" t="n">
        <x:f>J212/E212</x:f>
        <x:v>0</x:v>
      </x:c>
      <x:c r="M212" s="18" t="str">
        <x:v>正向</x:v>
      </x:c>
    </x:row>
    <x:row r="213">
      <x:c r="A213" s="18" t="str">
        <x:v>学习工作</x:v>
      </x:c>
      <x:c r="B213" s="18" t="str">
        <x:v>视觉触点</x:v>
      </x:c>
      <x:c r="C213" s="18" t="str">
        <x:v>形体造型</x:v>
      </x:c>
      <x:c r="D213" s="18" t="str">
        <x:v>愉悦与氛围感</x:v>
      </x:c>
      <x:c r="E213" s="26" t="n">
        <x:v>1</x:v>
      </x:c>
      <x:c r="F213" s="28" t="n">
        <x:f>E213/4747</x:f>
        <x:v>0.0002106593638087213</x:v>
      </x:c>
      <x:c r="G213" s="28" t="n">
        <x:f>E213/SUMIF($A$4:$A$256,A213,$E$4:$E$256)</x:f>
        <x:v>0.003205128205128205</x:v>
      </x:c>
      <x:c r="H213" s="26" t="n">
        <x:v>0</x:v>
      </x:c>
      <x:c r="I213" s="26" t="n">
        <x:v>1</x:v>
      </x:c>
      <x:c r="J213" s="26" t="n">
        <x:v>0</x:v>
      </x:c>
      <x:c r="K213" s="28" t="n">
        <x:f>H213/E213</x:f>
        <x:v>0</x:v>
      </x:c>
      <x:c r="L213" s="28" t="n">
        <x:f>J213/E213</x:f>
        <x:v>0</x:v>
      </x:c>
      <x:c r="M213" s="18" t="str">
        <x:v>中性</x:v>
      </x:c>
    </x:row>
    <x:row r="214">
      <x:c r="A214" s="18" t="str">
        <x:v>学习工作</x:v>
      </x:c>
      <x:c r="B214" s="18" t="str">
        <x:v>视觉触点</x:v>
      </x:c>
      <x:c r="C214" s="18" t="str">
        <x:v>空间氛围</x:v>
      </x:c>
      <x:c r="D214" s="18" t="str">
        <x:v>便捷性</x:v>
      </x:c>
      <x:c r="E214" s="26" t="n">
        <x:v>1</x:v>
      </x:c>
      <x:c r="F214" s="28" t="n">
        <x:f>E214/4747</x:f>
        <x:v>0.0002106593638087213</x:v>
      </x:c>
      <x:c r="G214" s="28" t="n">
        <x:f>E214/SUMIF($A$4:$A$256,A214,$E$4:$E$256)</x:f>
        <x:v>0.003205128205128205</x:v>
      </x:c>
      <x:c r="H214" s="26" t="n">
        <x:v>0</x:v>
      </x:c>
      <x:c r="I214" s="26" t="n">
        <x:v>1</x:v>
      </x:c>
      <x:c r="J214" s="26" t="n">
        <x:v>0</x:v>
      </x:c>
      <x:c r="K214" s="28" t="n">
        <x:f>H214/E214</x:f>
        <x:v>0</x:v>
      </x:c>
      <x:c r="L214" s="28" t="n">
        <x:f>J214/E214</x:f>
        <x:v>0</x:v>
      </x:c>
      <x:c r="M214" s="18" t="str">
        <x:v>中性</x:v>
      </x:c>
    </x:row>
    <x:row r="215">
      <x:c r="A215" s="18" t="str">
        <x:v>学习工作</x:v>
      </x:c>
      <x:c r="B215" s="18" t="str">
        <x:v>视觉触点</x:v>
      </x:c>
      <x:c r="C215" s="18" t="str">
        <x:v>空间氛围</x:v>
      </x:c>
      <x:c r="D215" s="18" t="str">
        <x:v>舒适感</x:v>
      </x:c>
      <x:c r="E215" s="26" t="n">
        <x:v>1</x:v>
      </x:c>
      <x:c r="F215" s="28" t="n">
        <x:f>E215/4747</x:f>
        <x:v>0.0002106593638087213</x:v>
      </x:c>
      <x:c r="G215" s="28" t="n">
        <x:f>E215/SUMIF($A$4:$A$256,A215,$E$4:$E$256)</x:f>
        <x:v>0.003205128205128205</x:v>
      </x:c>
      <x:c r="H215" s="26" t="n">
        <x:v>0</x:v>
      </x:c>
      <x:c r="I215" s="26" t="n">
        <x:v>1</x:v>
      </x:c>
      <x:c r="J215" s="26" t="n">
        <x:v>0</x:v>
      </x:c>
      <x:c r="K215" s="28" t="n">
        <x:f>H215/E215</x:f>
        <x:v>0</x:v>
      </x:c>
      <x:c r="L215" s="28" t="n">
        <x:f>J215/E215</x:f>
        <x:v>0</x:v>
      </x:c>
      <x:c r="M215" s="18" t="str">
        <x:v>中性</x:v>
      </x:c>
    </x:row>
    <x:row r="216">
      <x:c r="A216" s="18" t="str">
        <x:v>学习工作</x:v>
      </x:c>
      <x:c r="B216" s="18" t="str">
        <x:v>视觉触点</x:v>
      </x:c>
      <x:c r="C216" s="18" t="str">
        <x:v>色彩</x:v>
      </x:c>
      <x:c r="D216" s="18" t="str">
        <x:v>便捷性</x:v>
      </x:c>
      <x:c r="E216" s="26" t="n">
        <x:v>1</x:v>
      </x:c>
      <x:c r="F216" s="28" t="n">
        <x:f>E216/4747</x:f>
        <x:v>0.0002106593638087213</x:v>
      </x:c>
      <x:c r="G216" s="28" t="n">
        <x:f>E216/SUMIF($A$4:$A$256,A216,$E$4:$E$256)</x:f>
        <x:v>0.003205128205128205</x:v>
      </x:c>
      <x:c r="H216" s="26" t="n">
        <x:v>1</x:v>
      </x:c>
      <x:c r="I216" s="26" t="n">
        <x:v>0</x:v>
      </x:c>
      <x:c r="J216" s="26" t="n">
        <x:v>0</x:v>
      </x:c>
      <x:c r="K216" s="28" t="n">
        <x:f>H216/E216</x:f>
        <x:v>1</x:v>
      </x:c>
      <x:c r="L216" s="28" t="n">
        <x:f>J216/E216</x:f>
        <x:v>0</x:v>
      </x:c>
      <x:c r="M216" s="18" t="str">
        <x:v>正向</x:v>
      </x:c>
    </x:row>
    <x:row r="217">
      <x:c r="A217" s="18" t="str">
        <x:v>学习工作</x:v>
      </x:c>
      <x:c r="B217" s="18" t="str">
        <x:v>视觉触点</x:v>
      </x:c>
      <x:c r="C217" s="18" t="str">
        <x:v>色彩</x:v>
      </x:c>
      <x:c r="D217" s="18" t="str">
        <x:v>舒适感</x:v>
      </x:c>
      <x:c r="E217" s="26" t="n">
        <x:v>1</x:v>
      </x:c>
      <x:c r="F217" s="28" t="n">
        <x:f>E217/4747</x:f>
        <x:v>0.0002106593638087213</x:v>
      </x:c>
      <x:c r="G217" s="28" t="n">
        <x:f>E217/SUMIF($A$4:$A$256,A217,$E$4:$E$256)</x:f>
        <x:v>0.003205128205128205</x:v>
      </x:c>
      <x:c r="H217" s="26" t="n">
        <x:v>1</x:v>
      </x:c>
      <x:c r="I217" s="26" t="n">
        <x:v>0</x:v>
      </x:c>
      <x:c r="J217" s="26" t="n">
        <x:v>0</x:v>
      </x:c>
      <x:c r="K217" s="28" t="n">
        <x:f>H217/E217</x:f>
        <x:v>1</x:v>
      </x:c>
      <x:c r="L217" s="28" t="n">
        <x:f>J217/E217</x:f>
        <x:v>0</x:v>
      </x:c>
      <x:c r="M217" s="18" t="str">
        <x:v>正向</x:v>
      </x:c>
    </x:row>
    <x:row r="218">
      <x:c r="A218" s="18" t="str">
        <x:v>学习工作</x:v>
      </x:c>
      <x:c r="B218" s="18" t="str">
        <x:v>视觉触点</x:v>
      </x:c>
      <x:c r="C218" s="18" t="str">
        <x:v>视觉舒适</x:v>
      </x:c>
      <x:c r="D218" s="18" t="str">
        <x:v>愉悦与氛围感</x:v>
      </x:c>
      <x:c r="E218" s="26" t="n">
        <x:v>1</x:v>
      </x:c>
      <x:c r="F218" s="28" t="n">
        <x:f>E218/4747</x:f>
        <x:v>0.0002106593638087213</x:v>
      </x:c>
      <x:c r="G218" s="28" t="n">
        <x:f>E218/SUMIF($A$4:$A$256,A218,$E$4:$E$256)</x:f>
        <x:v>0.003205128205128205</x:v>
      </x:c>
      <x:c r="H218" s="26" t="n">
        <x:v>0</x:v>
      </x:c>
      <x:c r="I218" s="26" t="n">
        <x:v>1</x:v>
      </x:c>
      <x:c r="J218" s="26" t="n">
        <x:v>0</x:v>
      </x:c>
      <x:c r="K218" s="28" t="n">
        <x:f>H218/E218</x:f>
        <x:v>0</x:v>
      </x:c>
      <x:c r="L218" s="28" t="n">
        <x:f>J218/E218</x:f>
        <x:v>0</x:v>
      </x:c>
      <x:c r="M218" s="18" t="str">
        <x:v>中性</x:v>
      </x:c>
    </x:row>
    <x:row r="219">
      <x:c r="A219" s="18" t="str">
        <x:v>无</x:v>
      </x:c>
      <x:c r="B219" s="18" t="str">
        <x:v>操作交互触点</x:v>
      </x:c>
      <x:c r="C219" s="18" t="str">
        <x:v>交互功能</x:v>
      </x:c>
      <x:c r="D219" s="18" t="str">
        <x:v>专注</x:v>
      </x:c>
      <x:c r="E219" s="26" t="n">
        <x:v>1</x:v>
      </x:c>
      <x:c r="F219" s="28" t="n">
        <x:f>E219/4747</x:f>
        <x:v>0.0002106593638087213</x:v>
      </x:c>
      <x:c r="G219" s="28" t="n">
        <x:f>E219/SUMIF($A$4:$A$256,A219,$E$4:$E$256)</x:f>
        <x:v>0.0004253509145044662</x:v>
      </x:c>
      <x:c r="H219" s="26" t="n">
        <x:v>0</x:v>
      </x:c>
      <x:c r="I219" s="26" t="n">
        <x:v>1</x:v>
      </x:c>
      <x:c r="J219" s="26" t="n">
        <x:v>0</x:v>
      </x:c>
      <x:c r="K219" s="28" t="n">
        <x:f>H219/E219</x:f>
        <x:v>0</x:v>
      </x:c>
      <x:c r="L219" s="28" t="n">
        <x:f>J219/E219</x:f>
        <x:v>0</x:v>
      </x:c>
      <x:c r="M219" s="18" t="str">
        <x:v>中性</x:v>
      </x:c>
    </x:row>
    <x:row r="220">
      <x:c r="A220" s="18" t="str">
        <x:v>无</x:v>
      </x:c>
      <x:c r="B220" s="18" t="str">
        <x:v>视觉触点</x:v>
      </x:c>
      <x:c r="C220" s="18" t="str">
        <x:v>空间氛围</x:v>
      </x:c>
      <x:c r="D220" s="18" t="str">
        <x:v>安全感</x:v>
      </x:c>
      <x:c r="E220" s="26" t="n">
        <x:v>1</x:v>
      </x:c>
      <x:c r="F220" s="28" t="n">
        <x:f>E220/4747</x:f>
        <x:v>0.0002106593638087213</x:v>
      </x:c>
      <x:c r="G220" s="28" t="n">
        <x:f>E220/SUMIF($A$4:$A$256,A220,$E$4:$E$256)</x:f>
        <x:v>0.0004253509145044662</x:v>
      </x:c>
      <x:c r="H220" s="26" t="n">
        <x:v>1</x:v>
      </x:c>
      <x:c r="I220" s="26" t="n">
        <x:v>0</x:v>
      </x:c>
      <x:c r="J220" s="26" t="n">
        <x:v>0</x:v>
      </x:c>
      <x:c r="K220" s="28" t="n">
        <x:f>H220/E220</x:f>
        <x:v>1</x:v>
      </x:c>
      <x:c r="L220" s="28" t="n">
        <x:f>J220/E220</x:f>
        <x:v>0</x:v>
      </x:c>
      <x:c r="M220" s="18" t="str">
        <x:v>正向</x:v>
      </x:c>
    </x:row>
    <x:row r="221">
      <x:c r="A221" s="18" t="str">
        <x:v>无</x:v>
      </x:c>
      <x:c r="B221" s="18" t="str">
        <x:v>视觉触点</x:v>
      </x:c>
      <x:c r="C221" s="18" t="str">
        <x:v>色彩</x:v>
      </x:c>
      <x:c r="D221" s="18" t="str">
        <x:v>无</x:v>
      </x:c>
      <x:c r="E221" s="26" t="n">
        <x:v>1</x:v>
      </x:c>
      <x:c r="F221" s="28" t="n">
        <x:f>E221/4747</x:f>
        <x:v>0.0002106593638087213</x:v>
      </x:c>
      <x:c r="G221" s="28" t="n">
        <x:f>E221/SUMIF($A$4:$A$256,A221,$E$4:$E$256)</x:f>
        <x:v>0.0004253509145044662</x:v>
      </x:c>
      <x:c r="H221" s="26" t="n">
        <x:v>0</x:v>
      </x:c>
      <x:c r="I221" s="26" t="n">
        <x:v>1</x:v>
      </x:c>
      <x:c r="J221" s="26" t="n">
        <x:v>0</x:v>
      </x:c>
      <x:c r="K221" s="28" t="n">
        <x:f>H221/E221</x:f>
        <x:v>0</x:v>
      </x:c>
      <x:c r="L221" s="28" t="n">
        <x:f>J221/E221</x:f>
        <x:v>0</x:v>
      </x:c>
      <x:c r="M221" s="18" t="str">
        <x:v>中性</x:v>
      </x:c>
    </x:row>
    <x:row r="222">
      <x:c r="A222" s="18" t="str">
        <x:v>无</x:v>
      </x:c>
      <x:c r="B222" s="18" t="str">
        <x:v>视觉触点</x:v>
      </x:c>
      <x:c r="C222" s="18" t="str">
        <x:v>视觉舒适</x:v>
      </x:c>
      <x:c r="D222" s="18" t="str">
        <x:v>无</x:v>
      </x:c>
      <x:c r="E222" s="26" t="n">
        <x:v>1</x:v>
      </x:c>
      <x:c r="F222" s="28" t="n">
        <x:f>E222/4747</x:f>
        <x:v>0.0002106593638087213</x:v>
      </x:c>
      <x:c r="G222" s="28" t="n">
        <x:f>E222/SUMIF($A$4:$A$256,A222,$E$4:$E$256)</x:f>
        <x:v>0.0004253509145044662</x:v>
      </x:c>
      <x:c r="H222" s="26" t="n">
        <x:v>0</x:v>
      </x:c>
      <x:c r="I222" s="26" t="n">
        <x:v>1</x:v>
      </x:c>
      <x:c r="J222" s="26" t="n">
        <x:v>0</x:v>
      </x:c>
      <x:c r="K222" s="28" t="n">
        <x:f>H222/E222</x:f>
        <x:v>0</x:v>
      </x:c>
      <x:c r="L222" s="28" t="n">
        <x:f>J222/E222</x:f>
        <x:v>0</x:v>
      </x:c>
      <x:c r="M222" s="18" t="str">
        <x:v>中性</x:v>
      </x:c>
    </x:row>
    <x:row r="223">
      <x:c r="A223" s="18" t="str">
        <x:v>无</x:v>
      </x:c>
      <x:c r="B223" s="18" t="str">
        <x:v>视觉触点</x:v>
      </x:c>
      <x:c r="C223" s="18" t="str">
        <x:v>风格设计</x:v>
      </x:c>
      <x:c r="D223" s="18" t="str">
        <x:v>安全感</x:v>
      </x:c>
      <x:c r="E223" s="26" t="n">
        <x:v>1</x:v>
      </x:c>
      <x:c r="F223" s="28" t="n">
        <x:f>E223/4747</x:f>
        <x:v>0.0002106593638087213</x:v>
      </x:c>
      <x:c r="G223" s="28" t="n">
        <x:f>E223/SUMIF($A$4:$A$256,A223,$E$4:$E$256)</x:f>
        <x:v>0.0004253509145044662</x:v>
      </x:c>
      <x:c r="H223" s="26" t="n">
        <x:v>0</x:v>
      </x:c>
      <x:c r="I223" s="26" t="n">
        <x:v>1</x:v>
      </x:c>
      <x:c r="J223" s="26" t="n">
        <x:v>0</x:v>
      </x:c>
      <x:c r="K223" s="28" t="n">
        <x:f>H223/E223</x:f>
        <x:v>0</x:v>
      </x:c>
      <x:c r="L223" s="28" t="n">
        <x:f>J223/E223</x:f>
        <x:v>0</x:v>
      </x:c>
      <x:c r="M223" s="18" t="str">
        <x:v>中性</x:v>
      </x:c>
    </x:row>
    <x:row r="224">
      <x:c r="A224" s="18" t="str">
        <x:v>日常基础照明</x:v>
      </x:c>
      <x:c r="B224" s="18" t="str">
        <x:v>视觉触点</x:v>
      </x:c>
      <x:c r="C224" s="18" t="str">
        <x:v>形体造型</x:v>
      </x:c>
      <x:c r="D224" s="18" t="str">
        <x:v>愉悦与氛围感</x:v>
      </x:c>
      <x:c r="E224" s="26" t="n">
        <x:v>1</x:v>
      </x:c>
      <x:c r="F224" s="28" t="n">
        <x:f>E224/4747</x:f>
        <x:v>0.0002106593638087213</x:v>
      </x:c>
      <x:c r="G224" s="28" t="n">
        <x:f>E224/SUMIF($A$4:$A$256,A224,$E$4:$E$256)</x:f>
        <x:v>0.0009149130832570906</x:v>
      </x:c>
      <x:c r="H224" s="26" t="n">
        <x:v>1</x:v>
      </x:c>
      <x:c r="I224" s="26" t="n">
        <x:v>0</x:v>
      </x:c>
      <x:c r="J224" s="26" t="n">
        <x:v>0</x:v>
      </x:c>
      <x:c r="K224" s="28" t="n">
        <x:f>H224/E224</x:f>
        <x:v>1</x:v>
      </x:c>
      <x:c r="L224" s="28" t="n">
        <x:f>J224/E224</x:f>
        <x:v>0</x:v>
      </x:c>
      <x:c r="M224" s="18" t="str">
        <x:v>正向</x:v>
      </x:c>
    </x:row>
    <x:row r="225">
      <x:c r="A225" s="18" t="str">
        <x:v>日常基础照明</x:v>
      </x:c>
      <x:c r="B225" s="18" t="str">
        <x:v>视觉触点</x:v>
      </x:c>
      <x:c r="C225" s="18" t="str">
        <x:v>形体造型</x:v>
      </x:c>
      <x:c r="D225" s="18" t="str">
        <x:v>无</x:v>
      </x:c>
      <x:c r="E225" s="26" t="n">
        <x:v>1</x:v>
      </x:c>
      <x:c r="F225" s="28" t="n">
        <x:f>E225/4747</x:f>
        <x:v>0.0002106593638087213</x:v>
      </x:c>
      <x:c r="G225" s="28" t="n">
        <x:f>E225/SUMIF($A$4:$A$256,A225,$E$4:$E$256)</x:f>
        <x:v>0.0009149130832570906</x:v>
      </x:c>
      <x:c r="H225" s="26" t="n">
        <x:v>0</x:v>
      </x:c>
      <x:c r="I225" s="26" t="n">
        <x:v>1</x:v>
      </x:c>
      <x:c r="J225" s="26" t="n">
        <x:v>0</x:v>
      </x:c>
      <x:c r="K225" s="28" t="n">
        <x:f>H225/E225</x:f>
        <x:v>0</x:v>
      </x:c>
      <x:c r="L225" s="28" t="n">
        <x:f>J225/E225</x:f>
        <x:v>0</x:v>
      </x:c>
      <x:c r="M225" s="18" t="str">
        <x:v>中性</x:v>
      </x:c>
    </x:row>
    <x:row r="226">
      <x:c r="A226" s="18" t="str">
        <x:v>日常基础照明</x:v>
      </x:c>
      <x:c r="B226" s="18" t="str">
        <x:v>视觉触点</x:v>
      </x:c>
      <x:c r="C226" s="18" t="str">
        <x:v>照明与色调</x:v>
      </x:c>
      <x:c r="D226" s="18" t="str">
        <x:v>专注</x:v>
      </x:c>
      <x:c r="E226" s="26" t="n">
        <x:v>1</x:v>
      </x:c>
      <x:c r="F226" s="28" t="n">
        <x:f>E226/4747</x:f>
        <x:v>0.0002106593638087213</x:v>
      </x:c>
      <x:c r="G226" s="28" t="n">
        <x:f>E226/SUMIF($A$4:$A$256,A226,$E$4:$E$256)</x:f>
        <x:v>0.0009149130832570906</x:v>
      </x:c>
      <x:c r="H226" s="26" t="n">
        <x:v>0</x:v>
      </x:c>
      <x:c r="I226" s="26" t="n">
        <x:v>1</x:v>
      </x:c>
      <x:c r="J226" s="26" t="n">
        <x:v>0</x:v>
      </x:c>
      <x:c r="K226" s="28" t="n">
        <x:f>H226/E226</x:f>
        <x:v>0</x:v>
      </x:c>
      <x:c r="L226" s="28" t="n">
        <x:f>J226/E226</x:f>
        <x:v>0</x:v>
      </x:c>
      <x:c r="M226" s="18" t="str">
        <x:v>中性</x:v>
      </x:c>
    </x:row>
    <x:row r="227">
      <x:c r="A227" s="18" t="str">
        <x:v>日常基础照明</x:v>
      </x:c>
      <x:c r="B227" s="18" t="str">
        <x:v>视觉触点</x:v>
      </x:c>
      <x:c r="C227" s="18" t="str">
        <x:v>空间氛围</x:v>
      </x:c>
      <x:c r="D227" s="18" t="str">
        <x:v>便捷性</x:v>
      </x:c>
      <x:c r="E227" s="26" t="n">
        <x:v>1</x:v>
      </x:c>
      <x:c r="F227" s="28" t="n">
        <x:f>E227/4747</x:f>
        <x:v>0.0002106593638087213</x:v>
      </x:c>
      <x:c r="G227" s="28" t="n">
        <x:f>E227/SUMIF($A$4:$A$256,A227,$E$4:$E$256)</x:f>
        <x:v>0.0009149130832570906</x:v>
      </x:c>
      <x:c r="H227" s="26" t="n">
        <x:v>1</x:v>
      </x:c>
      <x:c r="I227" s="26" t="n">
        <x:v>0</x:v>
      </x:c>
      <x:c r="J227" s="26" t="n">
        <x:v>0</x:v>
      </x:c>
      <x:c r="K227" s="28" t="n">
        <x:f>H227/E227</x:f>
        <x:v>1</x:v>
      </x:c>
      <x:c r="L227" s="28" t="n">
        <x:f>J227/E227</x:f>
        <x:v>0</x:v>
      </x:c>
      <x:c r="M227" s="18" t="str">
        <x:v>正向</x:v>
      </x:c>
    </x:row>
    <x:row r="228">
      <x:c r="A228" s="18" t="str">
        <x:v>日常基础照明</x:v>
      </x:c>
      <x:c r="B228" s="18" t="str">
        <x:v>视觉触点</x:v>
      </x:c>
      <x:c r="C228" s="18" t="str">
        <x:v>空间氛围</x:v>
      </x:c>
      <x:c r="D228" s="18" t="str">
        <x:v>安全感</x:v>
      </x:c>
      <x:c r="E228" s="26" t="n">
        <x:v>1</x:v>
      </x:c>
      <x:c r="F228" s="28" t="n">
        <x:f>E228/4747</x:f>
        <x:v>0.0002106593638087213</x:v>
      </x:c>
      <x:c r="G228" s="28" t="n">
        <x:f>E228/SUMIF($A$4:$A$256,A228,$E$4:$E$256)</x:f>
        <x:v>0.0009149130832570906</x:v>
      </x:c>
      <x:c r="H228" s="26" t="n">
        <x:v>1</x:v>
      </x:c>
      <x:c r="I228" s="26" t="n">
        <x:v>0</x:v>
      </x:c>
      <x:c r="J228" s="26" t="n">
        <x:v>0</x:v>
      </x:c>
      <x:c r="K228" s="28" t="n">
        <x:f>H228/E228</x:f>
        <x:v>1</x:v>
      </x:c>
      <x:c r="L228" s="28" t="n">
        <x:f>J228/E228</x:f>
        <x:v>0</x:v>
      </x:c>
      <x:c r="M228" s="18" t="str">
        <x:v>正向</x:v>
      </x:c>
    </x:row>
    <x:row r="229">
      <x:c r="A229" s="18" t="str">
        <x:v>日常基础照明</x:v>
      </x:c>
      <x:c r="B229" s="18" t="str">
        <x:v>视觉触点</x:v>
      </x:c>
      <x:c r="C229" s="18" t="str">
        <x:v>空间氛围</x:v>
      </x:c>
      <x:c r="D229" s="18" t="str">
        <x:v>无</x:v>
      </x:c>
      <x:c r="E229" s="26" t="n">
        <x:v>1</x:v>
      </x:c>
      <x:c r="F229" s="28" t="n">
        <x:f>E229/4747</x:f>
        <x:v>0.0002106593638087213</x:v>
      </x:c>
      <x:c r="G229" s="28" t="n">
        <x:f>E229/SUMIF($A$4:$A$256,A229,$E$4:$E$256)</x:f>
        <x:v>0.0009149130832570906</x:v>
      </x:c>
      <x:c r="H229" s="26" t="n">
        <x:v>0</x:v>
      </x:c>
      <x:c r="I229" s="26" t="n">
        <x:v>1</x:v>
      </x:c>
      <x:c r="J229" s="26" t="n">
        <x:v>0</x:v>
      </x:c>
      <x:c r="K229" s="28" t="n">
        <x:f>H229/E229</x:f>
        <x:v>0</x:v>
      </x:c>
      <x:c r="L229" s="28" t="n">
        <x:f>J229/E229</x:f>
        <x:v>0</x:v>
      </x:c>
      <x:c r="M229" s="18" t="str">
        <x:v>中性</x:v>
      </x:c>
    </x:row>
    <x:row r="230">
      <x:c r="A230" s="18" t="str">
        <x:v>日常基础照明</x:v>
      </x:c>
      <x:c r="B230" s="18" t="str">
        <x:v>视觉触点</x:v>
      </x:c>
      <x:c r="C230" s="18" t="str">
        <x:v>色彩</x:v>
      </x:c>
      <x:c r="D230" s="18" t="str">
        <x:v>无</x:v>
      </x:c>
      <x:c r="E230" s="26" t="n">
        <x:v>1</x:v>
      </x:c>
      <x:c r="F230" s="28" t="n">
        <x:f>E230/4747</x:f>
        <x:v>0.0002106593638087213</x:v>
      </x:c>
      <x:c r="G230" s="28" t="n">
        <x:f>E230/SUMIF($A$4:$A$256,A230,$E$4:$E$256)</x:f>
        <x:v>0.0009149130832570906</x:v>
      </x:c>
      <x:c r="H230" s="26" t="n">
        <x:v>0</x:v>
      </x:c>
      <x:c r="I230" s="26" t="n">
        <x:v>1</x:v>
      </x:c>
      <x:c r="J230" s="26" t="n">
        <x:v>0</x:v>
      </x:c>
      <x:c r="K230" s="28" t="n">
        <x:f>H230/E230</x:f>
        <x:v>0</x:v>
      </x:c>
      <x:c r="L230" s="28" t="n">
        <x:f>J230/E230</x:f>
        <x:v>0</x:v>
      </x:c>
      <x:c r="M230" s="18" t="str">
        <x:v>中性</x:v>
      </x:c>
    </x:row>
    <x:row r="231">
      <x:c r="A231" s="18" t="str">
        <x:v>日常基础照明</x:v>
      </x:c>
      <x:c r="B231" s="18" t="str">
        <x:v>视觉触点</x:v>
      </x:c>
      <x:c r="C231" s="18" t="str">
        <x:v>视觉舒适</x:v>
      </x:c>
      <x:c r="D231" s="18" t="str">
        <x:v>专注</x:v>
      </x:c>
      <x:c r="E231" s="26" t="n">
        <x:v>1</x:v>
      </x:c>
      <x:c r="F231" s="28" t="n">
        <x:f>E231/4747</x:f>
        <x:v>0.0002106593638087213</x:v>
      </x:c>
      <x:c r="G231" s="28" t="n">
        <x:f>E231/SUMIF($A$4:$A$256,A231,$E$4:$E$256)</x:f>
        <x:v>0.0009149130832570906</x:v>
      </x:c>
      <x:c r="H231" s="26" t="n">
        <x:v>0</x:v>
      </x:c>
      <x:c r="I231" s="26" t="n">
        <x:v>1</x:v>
      </x:c>
      <x:c r="J231" s="26" t="n">
        <x:v>0</x:v>
      </x:c>
      <x:c r="K231" s="28" t="n">
        <x:f>H231/E231</x:f>
        <x:v>0</x:v>
      </x:c>
      <x:c r="L231" s="28" t="n">
        <x:f>J231/E231</x:f>
        <x:v>0</x:v>
      </x:c>
      <x:c r="M231" s="18" t="str">
        <x:v>中性</x:v>
      </x:c>
    </x:row>
    <x:row r="232">
      <x:c r="A232" s="18" t="str">
        <x:v>日常基础照明</x:v>
      </x:c>
      <x:c r="B232" s="18" t="str">
        <x:v>视觉触点</x:v>
      </x:c>
      <x:c r="C232" s="18" t="str">
        <x:v>风格设计</x:v>
      </x:c>
      <x:c r="D232" s="18" t="str">
        <x:v>安全感</x:v>
      </x:c>
      <x:c r="E232" s="26" t="n">
        <x:v>1</x:v>
      </x:c>
      <x:c r="F232" s="28" t="n">
        <x:f>E232/4747</x:f>
        <x:v>0.0002106593638087213</x:v>
      </x:c>
      <x:c r="G232" s="28" t="n">
        <x:f>E232/SUMIF($A$4:$A$256,A232,$E$4:$E$256)</x:f>
        <x:v>0.0009149130832570906</x:v>
      </x:c>
      <x:c r="H232" s="26" t="n">
        <x:v>0</x:v>
      </x:c>
      <x:c r="I232" s="26" t="n">
        <x:v>1</x:v>
      </x:c>
      <x:c r="J232" s="26" t="n">
        <x:v>0</x:v>
      </x:c>
      <x:c r="K232" s="28" t="n">
        <x:f>H232/E232</x:f>
        <x:v>0</x:v>
      </x:c>
      <x:c r="L232" s="28" t="n">
        <x:f>J232/E232</x:f>
        <x:v>0</x:v>
      </x:c>
      <x:c r="M232" s="18" t="str">
        <x:v>中性</x:v>
      </x:c>
    </x:row>
    <x:row r="233">
      <x:c r="A233" s="18" t="str">
        <x:v>智能托管</x:v>
      </x:c>
      <x:c r="B233" s="18" t="str">
        <x:v>操作交互触点</x:v>
      </x:c>
      <x:c r="C233" s="18" t="str">
        <x:v>交互功能</x:v>
      </x:c>
      <x:c r="D233" s="18" t="str">
        <x:v>专注</x:v>
      </x:c>
      <x:c r="E233" s="26" t="n">
        <x:v>1</x:v>
      </x:c>
      <x:c r="F233" s="28" t="n">
        <x:f>E233/4747</x:f>
        <x:v>0.0002106593638087213</x:v>
      </x:c>
      <x:c r="G233" s="28" t="n">
        <x:f>E233/SUMIF($A$4:$A$256,A233,$E$4:$E$256)</x:f>
        <x:v>0.0035335689045936395</x:v>
      </x:c>
      <x:c r="H233" s="26" t="n">
        <x:v>1</x:v>
      </x:c>
      <x:c r="I233" s="26" t="n">
        <x:v>0</x:v>
      </x:c>
      <x:c r="J233" s="26" t="n">
        <x:v>0</x:v>
      </x:c>
      <x:c r="K233" s="28" t="n">
        <x:f>H233/E233</x:f>
        <x:v>1</x:v>
      </x:c>
      <x:c r="L233" s="28" t="n">
        <x:f>J233/E233</x:f>
        <x:v>0</x:v>
      </x:c>
      <x:c r="M233" s="18" t="str">
        <x:v>正向</x:v>
      </x:c>
    </x:row>
    <x:row r="234">
      <x:c r="A234" s="18" t="str">
        <x:v>智能托管</x:v>
      </x:c>
      <x:c r="B234" s="18" t="str">
        <x:v>操作交互触点</x:v>
      </x:c>
      <x:c r="C234" s="18" t="str">
        <x:v>交互功能</x:v>
      </x:c>
      <x:c r="D234" s="18" t="str">
        <x:v>无</x:v>
      </x:c>
      <x:c r="E234" s="26" t="n">
        <x:v>1</x:v>
      </x:c>
      <x:c r="F234" s="28" t="n">
        <x:f>E234/4747</x:f>
        <x:v>0.0002106593638087213</x:v>
      </x:c>
      <x:c r="G234" s="28" t="n">
        <x:f>E234/SUMIF($A$4:$A$256,A234,$E$4:$E$256)</x:f>
        <x:v>0.0035335689045936395</x:v>
      </x:c>
      <x:c r="H234" s="26" t="n">
        <x:v>0</x:v>
      </x:c>
      <x:c r="I234" s="26" t="n">
        <x:v>1</x:v>
      </x:c>
      <x:c r="J234" s="26" t="n">
        <x:v>0</x:v>
      </x:c>
      <x:c r="K234" s="28" t="n">
        <x:f>H234/E234</x:f>
        <x:v>0</x:v>
      </x:c>
      <x:c r="L234" s="28" t="n">
        <x:f>J234/E234</x:f>
        <x:v>0</x:v>
      </x:c>
      <x:c r="M234" s="18" t="str">
        <x:v>中性</x:v>
      </x:c>
    </x:row>
    <x:row r="235">
      <x:c r="A235" s="18" t="str">
        <x:v>智能托管</x:v>
      </x:c>
      <x:c r="B235" s="18" t="str">
        <x:v>触觉/近身质感触点</x:v>
      </x:c>
      <x:c r="C235" s="18" t="str">
        <x:v>做工细节</x:v>
      </x:c>
      <x:c r="D235" s="18" t="str">
        <x:v>愉悦与氛围感</x:v>
      </x:c>
      <x:c r="E235" s="26" t="n">
        <x:v>1</x:v>
      </x:c>
      <x:c r="F235" s="28" t="n">
        <x:f>E235/4747</x:f>
        <x:v>0.0002106593638087213</x:v>
      </x:c>
      <x:c r="G235" s="28" t="n">
        <x:f>E235/SUMIF($A$4:$A$256,A235,$E$4:$E$256)</x:f>
        <x:v>0.0035335689045936395</x:v>
      </x:c>
      <x:c r="H235" s="26" t="n">
        <x:v>0</x:v>
      </x:c>
      <x:c r="I235" s="26" t="n">
        <x:v>1</x:v>
      </x:c>
      <x:c r="J235" s="26" t="n">
        <x:v>0</x:v>
      </x:c>
      <x:c r="K235" s="28" t="n">
        <x:f>H235/E235</x:f>
        <x:v>0</x:v>
      </x:c>
      <x:c r="L235" s="28" t="n">
        <x:f>J235/E235</x:f>
        <x:v>0</x:v>
      </x:c>
      <x:c r="M235" s="18" t="str">
        <x:v>中性</x:v>
      </x:c>
    </x:row>
    <x:row r="236">
      <x:c r="A236" s="18" t="str">
        <x:v>智能托管</x:v>
      </x:c>
      <x:c r="B236" s="18" t="str">
        <x:v>视觉触点</x:v>
      </x:c>
      <x:c r="C236" s="18" t="str">
        <x:v>形体造型</x:v>
      </x:c>
      <x:c r="D236" s="18" t="str">
        <x:v>便捷性</x:v>
      </x:c>
      <x:c r="E236" s="26" t="n">
        <x:v>1</x:v>
      </x:c>
      <x:c r="F236" s="28" t="n">
        <x:f>E236/4747</x:f>
        <x:v>0.0002106593638087213</x:v>
      </x:c>
      <x:c r="G236" s="28" t="n">
        <x:f>E236/SUMIF($A$4:$A$256,A236,$E$4:$E$256)</x:f>
        <x:v>0.0035335689045936395</x:v>
      </x:c>
      <x:c r="H236" s="26" t="n">
        <x:v>0</x:v>
      </x:c>
      <x:c r="I236" s="26" t="n">
        <x:v>1</x:v>
      </x:c>
      <x:c r="J236" s="26" t="n">
        <x:v>0</x:v>
      </x:c>
      <x:c r="K236" s="28" t="n">
        <x:f>H236/E236</x:f>
        <x:v>0</x:v>
      </x:c>
      <x:c r="L236" s="28" t="n">
        <x:f>J236/E236</x:f>
        <x:v>0</x:v>
      </x:c>
      <x:c r="M236" s="18" t="str">
        <x:v>中性</x:v>
      </x:c>
    </x:row>
    <x:row r="237">
      <x:c r="A237" s="18" t="str">
        <x:v>智能托管</x:v>
      </x:c>
      <x:c r="B237" s="18" t="str">
        <x:v>视觉触点</x:v>
      </x:c>
      <x:c r="C237" s="18" t="str">
        <x:v>形体造型</x:v>
      </x:c>
      <x:c r="D237" s="18" t="str">
        <x:v>愉悦与氛围感</x:v>
      </x:c>
      <x:c r="E237" s="26" t="n">
        <x:v>1</x:v>
      </x:c>
      <x:c r="F237" s="28" t="n">
        <x:f>E237/4747</x:f>
        <x:v>0.0002106593638087213</x:v>
      </x:c>
      <x:c r="G237" s="28" t="n">
        <x:f>E237/SUMIF($A$4:$A$256,A237,$E$4:$E$256)</x:f>
        <x:v>0.0035335689045936395</x:v>
      </x:c>
      <x:c r="H237" s="26" t="n">
        <x:v>0</x:v>
      </x:c>
      <x:c r="I237" s="26" t="n">
        <x:v>1</x:v>
      </x:c>
      <x:c r="J237" s="26" t="n">
        <x:v>0</x:v>
      </x:c>
      <x:c r="K237" s="28" t="n">
        <x:f>H237/E237</x:f>
        <x:v>0</x:v>
      </x:c>
      <x:c r="L237" s="28" t="n">
        <x:f>J237/E237</x:f>
        <x:v>0</x:v>
      </x:c>
      <x:c r="M237" s="18" t="str">
        <x:v>中性</x:v>
      </x:c>
    </x:row>
    <x:row r="238">
      <x:c r="A238" s="18" t="str">
        <x:v>智能托管</x:v>
      </x:c>
      <x:c r="B238" s="18" t="str">
        <x:v>视觉触点</x:v>
      </x:c>
      <x:c r="C238" s="18" t="str">
        <x:v>形体造型</x:v>
      </x:c>
      <x:c r="D238" s="18" t="str">
        <x:v>舒适感</x:v>
      </x:c>
      <x:c r="E238" s="26" t="n">
        <x:v>1</x:v>
      </x:c>
      <x:c r="F238" s="28" t="n">
        <x:f>E238/4747</x:f>
        <x:v>0.0002106593638087213</x:v>
      </x:c>
      <x:c r="G238" s="28" t="n">
        <x:f>E238/SUMIF($A$4:$A$256,A238,$E$4:$E$256)</x:f>
        <x:v>0.0035335689045936395</x:v>
      </x:c>
      <x:c r="H238" s="26" t="n">
        <x:v>0</x:v>
      </x:c>
      <x:c r="I238" s="26" t="n">
        <x:v>1</x:v>
      </x:c>
      <x:c r="J238" s="26" t="n">
        <x:v>0</x:v>
      </x:c>
      <x:c r="K238" s="28" t="n">
        <x:f>H238/E238</x:f>
        <x:v>0</x:v>
      </x:c>
      <x:c r="L238" s="28" t="n">
        <x:f>J238/E238</x:f>
        <x:v>0</x:v>
      </x:c>
      <x:c r="M238" s="18" t="str">
        <x:v>中性</x:v>
      </x:c>
    </x:row>
    <x:row r="239">
      <x:c r="A239" s="18" t="str">
        <x:v>智能托管</x:v>
      </x:c>
      <x:c r="B239" s="18" t="str">
        <x:v>触觉/近身质感触点</x:v>
      </x:c>
      <x:c r="C239" s="18" t="str">
        <x:v>材料质感</x:v>
      </x:c>
      <x:c r="D239" s="18" t="str">
        <x:v>便捷性</x:v>
      </x:c>
      <x:c r="E239" s="26" t="n">
        <x:v>1</x:v>
      </x:c>
      <x:c r="F239" s="28" t="n">
        <x:f>E239/4747</x:f>
        <x:v>0.0002106593638087213</x:v>
      </x:c>
      <x:c r="G239" s="28" t="n">
        <x:f>E239/SUMIF($A$4:$A$256,A239,$E$4:$E$256)</x:f>
        <x:v>0.0035335689045936395</x:v>
      </x:c>
      <x:c r="H239" s="26" t="n">
        <x:v>0</x:v>
      </x:c>
      <x:c r="I239" s="26" t="n">
        <x:v>1</x:v>
      </x:c>
      <x:c r="J239" s="26" t="n">
        <x:v>0</x:v>
      </x:c>
      <x:c r="K239" s="28" t="n">
        <x:f>H239/E239</x:f>
        <x:v>0</x:v>
      </x:c>
      <x:c r="L239" s="28" t="n">
        <x:f>J239/E239</x:f>
        <x:v>0</x:v>
      </x:c>
      <x:c r="M239" s="18" t="str">
        <x:v>中性</x:v>
      </x:c>
    </x:row>
    <x:row r="240">
      <x:c r="A240" s="18" t="str">
        <x:v>智能托管</x:v>
      </x:c>
      <x:c r="B240" s="18" t="str">
        <x:v>视觉触点</x:v>
      </x:c>
      <x:c r="C240" s="18" t="str">
        <x:v>照明与色调</x:v>
      </x:c>
      <x:c r="D240" s="18" t="str">
        <x:v>专注</x:v>
      </x:c>
      <x:c r="E240" s="26" t="n">
        <x:v>1</x:v>
      </x:c>
      <x:c r="F240" s="28" t="n">
        <x:f>E240/4747</x:f>
        <x:v>0.0002106593638087213</x:v>
      </x:c>
      <x:c r="G240" s="28" t="n">
        <x:f>E240/SUMIF($A$4:$A$256,A240,$E$4:$E$256)</x:f>
        <x:v>0.0035335689045936395</x:v>
      </x:c>
      <x:c r="H240" s="26" t="n">
        <x:v>1</x:v>
      </x:c>
      <x:c r="I240" s="26" t="n">
        <x:v>0</x:v>
      </x:c>
      <x:c r="J240" s="26" t="n">
        <x:v>0</x:v>
      </x:c>
      <x:c r="K240" s="28" t="n">
        <x:f>H240/E240</x:f>
        <x:v>1</x:v>
      </x:c>
      <x:c r="L240" s="28" t="n">
        <x:f>J240/E240</x:f>
        <x:v>0</x:v>
      </x:c>
      <x:c r="M240" s="18" t="str">
        <x:v>正向</x:v>
      </x:c>
    </x:row>
    <x:row r="241">
      <x:c r="A241" s="18" t="str">
        <x:v>智能托管</x:v>
      </x:c>
      <x:c r="B241" s="18" t="str">
        <x:v>视觉触点</x:v>
      </x:c>
      <x:c r="C241" s="18" t="str">
        <x:v>照明与色调</x:v>
      </x:c>
      <x:c r="D241" s="18" t="str">
        <x:v>无</x:v>
      </x:c>
      <x:c r="E241" s="26" t="n">
        <x:v>1</x:v>
      </x:c>
      <x:c r="F241" s="28" t="n">
        <x:f>E241/4747</x:f>
        <x:v>0.0002106593638087213</x:v>
      </x:c>
      <x:c r="G241" s="28" t="n">
        <x:f>E241/SUMIF($A$4:$A$256,A241,$E$4:$E$256)</x:f>
        <x:v>0.0035335689045936395</x:v>
      </x:c>
      <x:c r="H241" s="26" t="n">
        <x:v>0</x:v>
      </x:c>
      <x:c r="I241" s="26" t="n">
        <x:v>1</x:v>
      </x:c>
      <x:c r="J241" s="26" t="n">
        <x:v>0</x:v>
      </x:c>
      <x:c r="K241" s="28" t="n">
        <x:f>H241/E241</x:f>
        <x:v>0</x:v>
      </x:c>
      <x:c r="L241" s="28" t="n">
        <x:f>J241/E241</x:f>
        <x:v>0</x:v>
      </x:c>
      <x:c r="M241" s="18" t="str">
        <x:v>中性</x:v>
      </x:c>
    </x:row>
    <x:row r="242">
      <x:c r="A242" s="18" t="str">
        <x:v>智能托管</x:v>
      </x:c>
      <x:c r="B242" s="18" t="str">
        <x:v>视觉触点</x:v>
      </x:c>
      <x:c r="C242" s="18" t="str">
        <x:v>空间氛围</x:v>
      </x:c>
      <x:c r="D242" s="18" t="str">
        <x:v>专注</x:v>
      </x:c>
      <x:c r="E242" s="26" t="n">
        <x:v>1</x:v>
      </x:c>
      <x:c r="F242" s="28" t="n">
        <x:f>E242/4747</x:f>
        <x:v>0.0002106593638087213</x:v>
      </x:c>
      <x:c r="G242" s="28" t="n">
        <x:f>E242/SUMIF($A$4:$A$256,A242,$E$4:$E$256)</x:f>
        <x:v>0.0035335689045936395</x:v>
      </x:c>
      <x:c r="H242" s="26" t="n">
        <x:v>0</x:v>
      </x:c>
      <x:c r="I242" s="26" t="n">
        <x:v>1</x:v>
      </x:c>
      <x:c r="J242" s="26" t="n">
        <x:v>0</x:v>
      </x:c>
      <x:c r="K242" s="28" t="n">
        <x:f>H242/E242</x:f>
        <x:v>0</x:v>
      </x:c>
      <x:c r="L242" s="28" t="n">
        <x:f>J242/E242</x:f>
        <x:v>0</x:v>
      </x:c>
      <x:c r="M242" s="18" t="str">
        <x:v>中性</x:v>
      </x:c>
    </x:row>
    <x:row r="243">
      <x:c r="A243" s="18" t="str">
        <x:v>智能托管</x:v>
      </x:c>
      <x:c r="B243" s="18" t="str">
        <x:v>视觉触点</x:v>
      </x:c>
      <x:c r="C243" s="18" t="str">
        <x:v>色彩</x:v>
      </x:c>
      <x:c r="D243" s="18" t="str">
        <x:v>无</x:v>
      </x:c>
      <x:c r="E243" s="26" t="n">
        <x:v>1</x:v>
      </x:c>
      <x:c r="F243" s="28" t="n">
        <x:f>E243/4747</x:f>
        <x:v>0.0002106593638087213</x:v>
      </x:c>
      <x:c r="G243" s="28" t="n">
        <x:f>E243/SUMIF($A$4:$A$256,A243,$E$4:$E$256)</x:f>
        <x:v>0.0035335689045936395</x:v>
      </x:c>
      <x:c r="H243" s="26" t="n">
        <x:v>0</x:v>
      </x:c>
      <x:c r="I243" s="26" t="n">
        <x:v>1</x:v>
      </x:c>
      <x:c r="J243" s="26" t="n">
        <x:v>0</x:v>
      </x:c>
      <x:c r="K243" s="28" t="n">
        <x:f>H243/E243</x:f>
        <x:v>0</x:v>
      </x:c>
      <x:c r="L243" s="28" t="n">
        <x:f>J243/E243</x:f>
        <x:v>0</x:v>
      </x:c>
      <x:c r="M243" s="18" t="str">
        <x:v>中性</x:v>
      </x:c>
    </x:row>
    <x:row r="244">
      <x:c r="A244" s="18" t="str">
        <x:v>智能托管</x:v>
      </x:c>
      <x:c r="B244" s="18" t="str">
        <x:v>视觉触点</x:v>
      </x:c>
      <x:c r="C244" s="18" t="str">
        <x:v>色彩</x:v>
      </x:c>
      <x:c r="D244" s="18" t="str">
        <x:v>舒适感</x:v>
      </x:c>
      <x:c r="E244" s="26" t="n">
        <x:v>1</x:v>
      </x:c>
      <x:c r="F244" s="28" t="n">
        <x:f>E244/4747</x:f>
        <x:v>0.0002106593638087213</x:v>
      </x:c>
      <x:c r="G244" s="28" t="n">
        <x:f>E244/SUMIF($A$4:$A$256,A244,$E$4:$E$256)</x:f>
        <x:v>0.0035335689045936395</x:v>
      </x:c>
      <x:c r="H244" s="26" t="n">
        <x:v>1</x:v>
      </x:c>
      <x:c r="I244" s="26" t="n">
        <x:v>0</x:v>
      </x:c>
      <x:c r="J244" s="26" t="n">
        <x:v>0</x:v>
      </x:c>
      <x:c r="K244" s="28" t="n">
        <x:f>H244/E244</x:f>
        <x:v>1</x:v>
      </x:c>
      <x:c r="L244" s="28" t="n">
        <x:f>J244/E244</x:f>
        <x:v>0</x:v>
      </x:c>
      <x:c r="M244" s="18" t="str">
        <x:v>正向</x:v>
      </x:c>
    </x:row>
    <x:row r="245">
      <x:c r="A245" s="18" t="str">
        <x:v>智能托管</x:v>
      </x:c>
      <x:c r="B245" s="18" t="str">
        <x:v>视觉触点</x:v>
      </x:c>
      <x:c r="C245" s="18" t="str">
        <x:v>视觉舒适</x:v>
      </x:c>
      <x:c r="D245" s="18" t="str">
        <x:v>便捷性</x:v>
      </x:c>
      <x:c r="E245" s="26" t="n">
        <x:v>1</x:v>
      </x:c>
      <x:c r="F245" s="28" t="n">
        <x:f>E245/4747</x:f>
        <x:v>0.0002106593638087213</x:v>
      </x:c>
      <x:c r="G245" s="28" t="n">
        <x:f>E245/SUMIF($A$4:$A$256,A245,$E$4:$E$256)</x:f>
        <x:v>0.0035335689045936395</x:v>
      </x:c>
      <x:c r="H245" s="26" t="n">
        <x:v>0</x:v>
      </x:c>
      <x:c r="I245" s="26" t="n">
        <x:v>1</x:v>
      </x:c>
      <x:c r="J245" s="26" t="n">
        <x:v>0</x:v>
      </x:c>
      <x:c r="K245" s="28" t="n">
        <x:f>H245/E245</x:f>
        <x:v>0</x:v>
      </x:c>
      <x:c r="L245" s="28" t="n">
        <x:f>J245/E245</x:f>
        <x:v>0</x:v>
      </x:c>
      <x:c r="M245" s="18" t="str">
        <x:v>中性</x:v>
      </x:c>
    </x:row>
    <x:row r="246">
      <x:c r="A246" s="18" t="str">
        <x:v>智能托管</x:v>
      </x:c>
      <x:c r="B246" s="18" t="str">
        <x:v>视觉触点</x:v>
      </x:c>
      <x:c r="C246" s="18" t="str">
        <x:v>视觉舒适</x:v>
      </x:c>
      <x:c r="D246" s="18" t="str">
        <x:v>愉悦与氛围感</x:v>
      </x:c>
      <x:c r="E246" s="26" t="n">
        <x:v>1</x:v>
      </x:c>
      <x:c r="F246" s="28" t="n">
        <x:f>E246/4747</x:f>
        <x:v>0.0002106593638087213</x:v>
      </x:c>
      <x:c r="G246" s="28" t="n">
        <x:f>E246/SUMIF($A$4:$A$256,A246,$E$4:$E$256)</x:f>
        <x:v>0.0035335689045936395</x:v>
      </x:c>
      <x:c r="H246" s="26" t="n">
        <x:v>1</x:v>
      </x:c>
      <x:c r="I246" s="26" t="n">
        <x:v>0</x:v>
      </x:c>
      <x:c r="J246" s="26" t="n">
        <x:v>0</x:v>
      </x:c>
      <x:c r="K246" s="28" t="n">
        <x:f>H246/E246</x:f>
        <x:v>1</x:v>
      </x:c>
      <x:c r="L246" s="28" t="n">
        <x:f>J246/E246</x:f>
        <x:v>0</x:v>
      </x:c>
      <x:c r="M246" s="18" t="str">
        <x:v>正向</x:v>
      </x:c>
    </x:row>
    <x:row r="247">
      <x:c r="A247" s="18" t="str">
        <x:v>智能托管</x:v>
      </x:c>
      <x:c r="B247" s="18" t="str">
        <x:v>视觉触点</x:v>
      </x:c>
      <x:c r="C247" s="18" t="str">
        <x:v>视觉舒适</x:v>
      </x:c>
      <x:c r="D247" s="18" t="str">
        <x:v>美观与价值感</x:v>
      </x:c>
      <x:c r="E247" s="26" t="n">
        <x:v>1</x:v>
      </x:c>
      <x:c r="F247" s="28" t="n">
        <x:f>E247/4747</x:f>
        <x:v>0.0002106593638087213</x:v>
      </x:c>
      <x:c r="G247" s="28" t="n">
        <x:f>E247/SUMIF($A$4:$A$256,A247,$E$4:$E$256)</x:f>
        <x:v>0.0035335689045936395</x:v>
      </x:c>
      <x:c r="H247" s="26" t="n">
        <x:v>0</x:v>
      </x:c>
      <x:c r="I247" s="26" t="n">
        <x:v>1</x:v>
      </x:c>
      <x:c r="J247" s="26" t="n">
        <x:v>0</x:v>
      </x:c>
      <x:c r="K247" s="28" t="n">
        <x:f>H247/E247</x:f>
        <x:v>0</x:v>
      </x:c>
      <x:c r="L247" s="28" t="n">
        <x:f>J247/E247</x:f>
        <x:v>0</x:v>
      </x:c>
      <x:c r="M247" s="18" t="str">
        <x:v>中性</x:v>
      </x:c>
    </x:row>
    <x:row r="248">
      <x:c r="A248" s="18" t="str">
        <x:v>睡眠与起居</x:v>
      </x:c>
      <x:c r="B248" s="18" t="str">
        <x:v>操作交互触点</x:v>
      </x:c>
      <x:c r="C248" s="18" t="str">
        <x:v>交互功能</x:v>
      </x:c>
      <x:c r="D248" s="18" t="str">
        <x:v>美观与价值感</x:v>
      </x:c>
      <x:c r="E248" s="26" t="n">
        <x:v>1</x:v>
      </x:c>
      <x:c r="F248" s="28" t="n">
        <x:f>E248/4747</x:f>
        <x:v>0.0002106593638087213</x:v>
      </x:c>
      <x:c r="G248" s="28" t="n">
        <x:f>E248/SUMIF($A$4:$A$256,A248,$E$4:$E$256)</x:f>
        <x:v>0.0023094688221709007</x:v>
      </x:c>
      <x:c r="H248" s="26" t="n">
        <x:v>0</x:v>
      </x:c>
      <x:c r="I248" s="26" t="n">
        <x:v>1</x:v>
      </x:c>
      <x:c r="J248" s="26" t="n">
        <x:v>0</x:v>
      </x:c>
      <x:c r="K248" s="28" t="n">
        <x:f>H248/E248</x:f>
        <x:v>0</x:v>
      </x:c>
      <x:c r="L248" s="28" t="n">
        <x:f>J248/E248</x:f>
        <x:v>0</x:v>
      </x:c>
      <x:c r="M248" s="18" t="str">
        <x:v>中性</x:v>
      </x:c>
    </x:row>
    <x:row r="249">
      <x:c r="A249" s="18" t="str">
        <x:v>睡眠与起居</x:v>
      </x:c>
      <x:c r="B249" s="18" t="str">
        <x:v>视觉触点</x:v>
      </x:c>
      <x:c r="C249" s="18" t="str">
        <x:v>空间氛围</x:v>
      </x:c>
      <x:c r="D249" s="18" t="str">
        <x:v>便捷性</x:v>
      </x:c>
      <x:c r="E249" s="26" t="n">
        <x:v>1</x:v>
      </x:c>
      <x:c r="F249" s="28" t="n">
        <x:f>E249/4747</x:f>
        <x:v>0.0002106593638087213</x:v>
      </x:c>
      <x:c r="G249" s="28" t="n">
        <x:f>E249/SUMIF($A$4:$A$256,A249,$E$4:$E$256)</x:f>
        <x:v>0.0023094688221709007</x:v>
      </x:c>
      <x:c r="H249" s="26" t="n">
        <x:v>1</x:v>
      </x:c>
      <x:c r="I249" s="26" t="n">
        <x:v>0</x:v>
      </x:c>
      <x:c r="J249" s="26" t="n">
        <x:v>0</x:v>
      </x:c>
      <x:c r="K249" s="28" t="n">
        <x:f>H249/E249</x:f>
        <x:v>1</x:v>
      </x:c>
      <x:c r="L249" s="28" t="n">
        <x:f>J249/E249</x:f>
        <x:v>0</x:v>
      </x:c>
      <x:c r="M249" s="18" t="str">
        <x:v>正向</x:v>
      </x:c>
    </x:row>
    <x:row r="250">
      <x:c r="A250" s="18" t="str">
        <x:v>睡眠与起居</x:v>
      </x:c>
      <x:c r="B250" s="18" t="str">
        <x:v>视觉触点</x:v>
      </x:c>
      <x:c r="C250" s="18" t="str">
        <x:v>空间氛围</x:v>
      </x:c>
      <x:c r="D250" s="18" t="str">
        <x:v>无</x:v>
      </x:c>
      <x:c r="E250" s="26" t="n">
        <x:v>1</x:v>
      </x:c>
      <x:c r="F250" s="28" t="n">
        <x:f>E250/4747</x:f>
        <x:v>0.0002106593638087213</x:v>
      </x:c>
      <x:c r="G250" s="28" t="n">
        <x:f>E250/SUMIF($A$4:$A$256,A250,$E$4:$E$256)</x:f>
        <x:v>0.0023094688221709007</x:v>
      </x:c>
      <x:c r="H250" s="26" t="n">
        <x:v>0</x:v>
      </x:c>
      <x:c r="I250" s="26" t="n">
        <x:v>1</x:v>
      </x:c>
      <x:c r="J250" s="26" t="n">
        <x:v>0</x:v>
      </x:c>
      <x:c r="K250" s="28" t="n">
        <x:f>H250/E250</x:f>
        <x:v>0</x:v>
      </x:c>
      <x:c r="L250" s="28" t="n">
        <x:f>J250/E250</x:f>
        <x:v>0</x:v>
      </x:c>
      <x:c r="M250" s="18" t="str">
        <x:v>中性</x:v>
      </x:c>
    </x:row>
    <x:row r="251">
      <x:c r="A251" s="18" t="str">
        <x:v>睡眠与起居</x:v>
      </x:c>
      <x:c r="B251" s="18" t="str">
        <x:v>视觉触点</x:v>
      </x:c>
      <x:c r="C251" s="18" t="str">
        <x:v>空间氛围</x:v>
      </x:c>
      <x:c r="D251" s="18" t="str">
        <x:v>美观与价值感</x:v>
      </x:c>
      <x:c r="E251" s="26" t="n">
        <x:v>1</x:v>
      </x:c>
      <x:c r="F251" s="28" t="n">
        <x:f>E251/4747</x:f>
        <x:v>0.0002106593638087213</x:v>
      </x:c>
      <x:c r="G251" s="28" t="n">
        <x:f>E251/SUMIF($A$4:$A$256,A251,$E$4:$E$256)</x:f>
        <x:v>0.0023094688221709007</x:v>
      </x:c>
      <x:c r="H251" s="26" t="n">
        <x:v>1</x:v>
      </x:c>
      <x:c r="I251" s="26" t="n">
        <x:v>0</x:v>
      </x:c>
      <x:c r="J251" s="26" t="n">
        <x:v>0</x:v>
      </x:c>
      <x:c r="K251" s="28" t="n">
        <x:f>H251/E251</x:f>
        <x:v>1</x:v>
      </x:c>
      <x:c r="L251" s="28" t="n">
        <x:f>J251/E251</x:f>
        <x:v>0</x:v>
      </x:c>
      <x:c r="M251" s="18" t="str">
        <x:v>正向</x:v>
      </x:c>
    </x:row>
    <x:row r="252">
      <x:c r="A252" s="18" t="str">
        <x:v>睡眠与起居</x:v>
      </x:c>
      <x:c r="B252" s="18" t="str">
        <x:v>视觉触点</x:v>
      </x:c>
      <x:c r="C252" s="18" t="str">
        <x:v>色彩</x:v>
      </x:c>
      <x:c r="D252" s="18" t="str">
        <x:v>无</x:v>
      </x:c>
      <x:c r="E252" s="26" t="n">
        <x:v>1</x:v>
      </x:c>
      <x:c r="F252" s="28" t="n">
        <x:f>E252/4747</x:f>
        <x:v>0.0002106593638087213</x:v>
      </x:c>
      <x:c r="G252" s="28" t="n">
        <x:f>E252/SUMIF($A$4:$A$256,A252,$E$4:$E$256)</x:f>
        <x:v>0.0023094688221709007</x:v>
      </x:c>
      <x:c r="H252" s="26" t="n">
        <x:v>0</x:v>
      </x:c>
      <x:c r="I252" s="26" t="n">
        <x:v>1</x:v>
      </x:c>
      <x:c r="J252" s="26" t="n">
        <x:v>0</x:v>
      </x:c>
      <x:c r="K252" s="28" t="n">
        <x:f>H252/E252</x:f>
        <x:v>0</x:v>
      </x:c>
      <x:c r="L252" s="28" t="n">
        <x:f>J252/E252</x:f>
        <x:v>0</x:v>
      </x:c>
      <x:c r="M252" s="18" t="str">
        <x:v>中性</x:v>
      </x:c>
    </x:row>
    <x:row r="253">
      <x:c r="A253" s="18" t="str">
        <x:v>睡眠与起居</x:v>
      </x:c>
      <x:c r="B253" s="18" t="str">
        <x:v>视觉触点</x:v>
      </x:c>
      <x:c r="C253" s="18" t="str">
        <x:v>视觉舒适</x:v>
      </x:c>
      <x:c r="D253" s="18" t="str">
        <x:v>便捷性</x:v>
      </x:c>
      <x:c r="E253" s="26" t="n">
        <x:v>1</x:v>
      </x:c>
      <x:c r="F253" s="28" t="n">
        <x:f>E253/4747</x:f>
        <x:v>0.0002106593638087213</x:v>
      </x:c>
      <x:c r="G253" s="28" t="n">
        <x:f>E253/SUMIF($A$4:$A$256,A253,$E$4:$E$256)</x:f>
        <x:v>0.0023094688221709007</x:v>
      </x:c>
      <x:c r="H253" s="26" t="n">
        <x:v>1</x:v>
      </x:c>
      <x:c r="I253" s="26" t="n">
        <x:v>0</x:v>
      </x:c>
      <x:c r="J253" s="26" t="n">
        <x:v>0</x:v>
      </x:c>
      <x:c r="K253" s="28" t="n">
        <x:f>H253/E253</x:f>
        <x:v>1</x:v>
      </x:c>
      <x:c r="L253" s="28" t="n">
        <x:f>J253/E253</x:f>
        <x:v>0</x:v>
      </x:c>
      <x:c r="M253" s="18" t="str">
        <x:v>正向</x:v>
      </x:c>
    </x:row>
    <x:row r="254">
      <x:c r="A254" s="18" t="str">
        <x:v>睡眠与起居</x:v>
      </x:c>
      <x:c r="B254" s="18" t="str">
        <x:v>视觉触点</x:v>
      </x:c>
      <x:c r="C254" s="18" t="str">
        <x:v>视觉舒适</x:v>
      </x:c>
      <x:c r="D254" s="18" t="str">
        <x:v>安全感</x:v>
      </x:c>
      <x:c r="E254" s="26" t="n">
        <x:v>1</x:v>
      </x:c>
      <x:c r="F254" s="28" t="n">
        <x:f>E254/4747</x:f>
        <x:v>0.0002106593638087213</x:v>
      </x:c>
      <x:c r="G254" s="28" t="n">
        <x:f>E254/SUMIF($A$4:$A$256,A254,$E$4:$E$256)</x:f>
        <x:v>0.0023094688221709007</x:v>
      </x:c>
      <x:c r="H254" s="26" t="n">
        <x:v>1</x:v>
      </x:c>
      <x:c r="I254" s="26" t="n">
        <x:v>0</x:v>
      </x:c>
      <x:c r="J254" s="26" t="n">
        <x:v>0</x:v>
      </x:c>
      <x:c r="K254" s="28" t="n">
        <x:f>H254/E254</x:f>
        <x:v>1</x:v>
      </x:c>
      <x:c r="L254" s="28" t="n">
        <x:f>J254/E254</x:f>
        <x:v>0</x:v>
      </x:c>
      <x:c r="M254" s="18" t="str">
        <x:v>正向</x:v>
      </x:c>
    </x:row>
    <x:row r="255">
      <x:c r="A255" s="18" t="str">
        <x:v>睡眠与起居</x:v>
      </x:c>
      <x:c r="B255" s="18" t="str">
        <x:v>视觉触点</x:v>
      </x:c>
      <x:c r="C255" s="18" t="str">
        <x:v>视觉舒适</x:v>
      </x:c>
      <x:c r="D255" s="18" t="str">
        <x:v>无</x:v>
      </x:c>
      <x:c r="E255" s="26" t="n">
        <x:v>1</x:v>
      </x:c>
      <x:c r="F255" s="28" t="n">
        <x:f>E255/4747</x:f>
        <x:v>0.0002106593638087213</x:v>
      </x:c>
      <x:c r="G255" s="28" t="n">
        <x:f>E255/SUMIF($A$4:$A$256,A255,$E$4:$E$256)</x:f>
        <x:v>0.0023094688221709007</x:v>
      </x:c>
      <x:c r="H255" s="26" t="n">
        <x:v>0</x:v>
      </x:c>
      <x:c r="I255" s="26" t="n">
        <x:v>1</x:v>
      </x:c>
      <x:c r="J255" s="26" t="n">
        <x:v>0</x:v>
      </x:c>
      <x:c r="K255" s="28" t="n">
        <x:f>H255/E255</x:f>
        <x:v>0</x:v>
      </x:c>
      <x:c r="L255" s="28" t="n">
        <x:f>J255/E255</x:f>
        <x:v>0</x:v>
      </x:c>
      <x:c r="M255" s="18" t="str">
        <x:v>中性</x:v>
      </x:c>
    </x:row>
    <x:row r="256">
      <x:c r="A256" s="19" t="str">
        <x:v>睡眠与起居</x:v>
      </x:c>
      <x:c r="B256" s="19" t="str">
        <x:v>视觉触点</x:v>
      </x:c>
      <x:c r="C256" s="19" t="str">
        <x:v>风格设计</x:v>
      </x:c>
      <x:c r="D256" s="19" t="str">
        <x:v>愉悦与氛围感</x:v>
      </x:c>
      <x:c r="E256" s="27" t="n">
        <x:v>1</x:v>
      </x:c>
      <x:c r="F256" s="29" t="n">
        <x:f>E256/4747</x:f>
        <x:v>0.0002106593638087213</x:v>
      </x:c>
      <x:c r="G256" s="29" t="n">
        <x:f>E256/SUMIF($A$4:$A$256,A256,$E$4:$E$256)</x:f>
        <x:v>0.0023094688221709007</x:v>
      </x:c>
      <x:c r="H256" s="27" t="n">
        <x:v>1</x:v>
      </x:c>
      <x:c r="I256" s="27" t="n">
        <x:v>0</x:v>
      </x:c>
      <x:c r="J256" s="27" t="n">
        <x:v>0</x:v>
      </x:c>
      <x:c r="K256" s="29" t="n">
        <x:f>H256/E256</x:f>
        <x:v>1</x:v>
      </x:c>
      <x:c r="L256" s="29" t="n">
        <x:f>J256/E256</x:f>
        <x:v>0</x:v>
      </x:c>
      <x:c r="M256" s="19" t="str">
        <x:v>正向</x:v>
      </x:c>
    </x:row>
  </x:sheetData>
  <x:mergeCells>
    <x:mergeCell ref="A1:M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4" hidden="0" customWidth="1"/>
    <x:col min="4" max="4" width="24" hidden="0" customWidth="1"/>
    <x:col min="5" max="5" width="14" hidden="0" customWidth="1"/>
    <x:col min="6" max="6" width="4" hidden="0" customWidth="1"/>
    <x:col min="7" max="7" width="24" hidden="0" customWidth="1"/>
    <x:col min="8" max="8" width="14" hidden="0" customWidth="1"/>
    <x:col min="9" max="9" width="4" hidden="0" customWidth="1"/>
    <x:col min="10" max="10" width="18" hidden="0" customWidth="1"/>
    <x:col min="11" max="11" width="14" hidden="0" customWidth="1"/>
  </x:cols>
  <x:sheetData>
    <x:row r="1" ht="27" customHeight="1">
      <x:c r="A1" s="3" t="str">
        <x:v>全局统计</x:v>
      </x:c>
      <x:c r="B1" s="3" t="str">
        <x:v>全局统计</x:v>
      </x:c>
      <x:c r="C1" s="3" t="str">
        <x:v>全局统计</x:v>
      </x:c>
      <x:c r="D1" s="3" t="str">
        <x:v>全局统计</x:v>
      </x:c>
      <x:c r="E1" s="3" t="str">
        <x:v>全局统计</x:v>
      </x:c>
      <x:c r="F1" s="3" t="str">
        <x:v>全局统计</x:v>
      </x:c>
      <x:c r="G1" s="3" t="str">
        <x:v>全局统计</x:v>
      </x:c>
      <x:c r="H1" s="3" t="str">
        <x:v>全局统计</x:v>
      </x:c>
    </x:row>
    <x:row r="3" ht="28" customHeight="1">
      <x:c r="A3" s="12" t="str">
        <x:v>指标</x:v>
      </x:c>
      <x:c r="B3" s="13" t="str">
        <x:v>数值</x:v>
      </x:c>
    </x:row>
    <x:row r="4">
      <x:c r="A4" s="18" t="str">
        <x:v>有效标注总数</x:v>
      </x:c>
      <x:c r="B4" s="18" t="n">
        <x:v>4747</x:v>
      </x:c>
    </x:row>
    <x:row r="5">
      <x:c r="A5" s="18" t="str">
        <x:v>唯一原帖数</x:v>
      </x:c>
      <x:c r="B5" s="18" t="n">
        <x:v>425</x:v>
      </x:c>
    </x:row>
    <x:row r="6">
      <x:c r="A6" s="18" t="str">
        <x:v>每帖记录数中位数</x:v>
      </x:c>
      <x:c r="B6" s="18" t="n">
        <x:v>8</x:v>
      </x:c>
    </x:row>
    <x:row r="7">
      <x:c r="A7" s="18" t="str">
        <x:v>每帖最少记录数</x:v>
      </x:c>
      <x:c r="B7" s="18" t="n">
        <x:v>1</x:v>
      </x:c>
    </x:row>
    <x:row r="8">
      <x:c r="A8" s="19" t="str">
        <x:v>每帖最多记录数</x:v>
      </x:c>
      <x:c r="B8" s="19" t="n">
        <x:v>51</x:v>
      </x:c>
    </x:row>
    <x:row r="11" ht="28" customHeight="1">
      <x:c r="A11" s="12" t="str">
        <x:v>场景频数</x:v>
      </x:c>
      <x:c r="B11" s="13" t="str">
        <x:v>频数</x:v>
      </x:c>
      <x:c r="D11" s="12" t="str">
        <x:v>美学指标频数</x:v>
      </x:c>
      <x:c r="E11" s="13" t="str">
        <x:v>频数</x:v>
      </x:c>
      <x:c r="G11" s="12" t="str">
        <x:v>用户感受频数</x:v>
      </x:c>
      <x:c r="H11" s="13" t="str">
        <x:v>频数</x:v>
      </x:c>
      <x:c r="J11" s="12" t="str">
        <x:v>情感频数</x:v>
      </x:c>
      <x:c r="K11" s="13" t="str">
        <x:v>频数</x:v>
      </x:c>
    </x:row>
    <x:row r="12">
      <x:c r="A12" s="18" t="str">
        <x:v>无</x:v>
      </x:c>
      <x:c r="B12" s="26" t="n">
        <x:v>2351</x:v>
      </x:c>
      <x:c r="D12" s="18" t="str">
        <x:v>照明与色调</x:v>
      </x:c>
      <x:c r="E12" s="26" t="n">
        <x:v>1709</x:v>
      </x:c>
      <x:c r="G12" s="18" t="str">
        <x:v>美观与价值感</x:v>
      </x:c>
      <x:c r="H12" s="26" t="n">
        <x:v>1712</x:v>
      </x:c>
      <x:c r="J12" s="18" t="str">
        <x:v>中性</x:v>
      </x:c>
      <x:c r="K12" s="26" t="n">
        <x:v>2284</x:v>
      </x:c>
    </x:row>
    <x:row r="13">
      <x:c r="A13" s="18" t="str">
        <x:v>日常基础照明</x:v>
      </x:c>
      <x:c r="B13" s="26" t="n">
        <x:v>1093</x:v>
      </x:c>
      <x:c r="D13" s="18" t="str">
        <x:v>交互功能</x:v>
      </x:c>
      <x:c r="E13" s="26" t="n">
        <x:v>648</x:v>
      </x:c>
      <x:c r="G13" s="18" t="str">
        <x:v>舒适感</x:v>
      </x:c>
      <x:c r="H13" s="26" t="n">
        <x:v>1684</x:v>
      </x:c>
      <x:c r="J13" s="18" t="str">
        <x:v>正向</x:v>
      </x:c>
      <x:c r="K13" s="26" t="n">
        <x:v>2243</x:v>
      </x:c>
    </x:row>
    <x:row r="14">
      <x:c r="A14" s="18" t="str">
        <x:v>睡眠与起居</x:v>
      </x:c>
      <x:c r="B14" s="26" t="n">
        <x:v>433</x:v>
      </x:c>
      <x:c r="D14" s="18" t="str">
        <x:v>风格设计</x:v>
      </x:c>
      <x:c r="E14" s="26" t="n">
        <x:v>513</x:v>
      </x:c>
      <x:c r="G14" s="18" t="str">
        <x:v>便捷性</x:v>
      </x:c>
      <x:c r="H14" s="26" t="n">
        <x:v>686</x:v>
      </x:c>
      <x:c r="J14" s="19" t="str">
        <x:v>负向</x:v>
      </x:c>
      <x:c r="K14" s="27" t="n">
        <x:v>220</x:v>
      </x:c>
    </x:row>
    <x:row r="15">
      <x:c r="A15" s="18" t="str">
        <x:v>学习工作</x:v>
      </x:c>
      <x:c r="B15" s="26" t="n">
        <x:v>312</x:v>
      </x:c>
      <x:c r="D15" s="18" t="str">
        <x:v>形体造型</x:v>
      </x:c>
      <x:c r="E15" s="26" t="n">
        <x:v>498</x:v>
      </x:c>
      <x:c r="G15" s="18" t="str">
        <x:v>愉悦与氛围感</x:v>
      </x:c>
      <x:c r="H15" s="26" t="n">
        <x:v>403</x:v>
      </x:c>
    </x:row>
    <x:row r="16">
      <x:c r="A16" s="18" t="str">
        <x:v>智能托管</x:v>
      </x:c>
      <x:c r="B16" s="26" t="n">
        <x:v>283</x:v>
      </x:c>
      <x:c r="D16" s="18" t="str">
        <x:v>视觉舒适</x:v>
      </x:c>
      <x:c r="E16" s="26" t="n">
        <x:v>444</x:v>
      </x:c>
      <x:c r="G16" s="18" t="str">
        <x:v>安全感</x:v>
      </x:c>
      <x:c r="H16" s="26" t="n">
        <x:v>109</x:v>
      </x:c>
    </x:row>
    <x:row r="17">
      <x:c r="A17" s="18" t="str">
        <x:v>休闲娱乐</x:v>
      </x:c>
      <x:c r="B17" s="26" t="n">
        <x:v>211</x:v>
      </x:c>
      <x:c r="D17" s="18" t="str">
        <x:v>做工细节</x:v>
      </x:c>
      <x:c r="E17" s="26" t="n">
        <x:v>309</x:v>
      </x:c>
      <x:c r="G17" s="18" t="str">
        <x:v>无</x:v>
      </x:c>
      <x:c r="H17" s="26" t="n">
        <x:v>78</x:v>
      </x:c>
    </x:row>
    <x:row r="18">
      <x:c r="A18" s="19" t="str">
        <x:v>亲子互动陪伴</x:v>
      </x:c>
      <x:c r="B18" s="27" t="n">
        <x:v>64</x:v>
      </x:c>
      <x:c r="D18" s="18" t="str">
        <x:v>材料质感</x:v>
      </x:c>
      <x:c r="E18" s="26" t="n">
        <x:v>242</x:v>
      </x:c>
      <x:c r="G18" s="19" t="str">
        <x:v>专注</x:v>
      </x:c>
      <x:c r="H18" s="27" t="n">
        <x:v>75</x:v>
      </x:c>
    </x:row>
    <x:row r="19">
      <x:c r="D19" s="18" t="str">
        <x:v>空间氛围</x:v>
      </x:c>
      <x:c r="E19" s="26" t="n">
        <x:v>196</x:v>
      </x:c>
    </x:row>
    <x:row r="20">
      <x:c r="D20" s="19" t="str">
        <x:v>色彩</x:v>
      </x:c>
      <x:c r="E20" s="27" t="n">
        <x:v>188</x:v>
      </x:c>
    </x:row>
  </x:sheetData>
  <x:mergeCells>
    <x:mergeCell ref="A1:H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45" hidden="0" customWidth="1"/>
    <x:col min="3" max="3" width="30" hidden="0" customWidth="1"/>
    <x:col min="4" max="4" width="38" hidden="0" customWidth="1"/>
  </x:cols>
  <x:sheetData>
    <x:row r="1" ht="27" customHeight="1">
      <x:c r="A1" s="3" t="str">
        <x:v>第一阶段复现对照</x:v>
      </x:c>
      <x:c r="B1" s="3" t="str">
        <x:v>第一阶段复现对照</x:v>
      </x:c>
      <x:c r="C1" s="3" t="str">
        <x:v>第一阶段复现对照</x:v>
      </x:c>
      <x:c r="D1" s="3" t="str">
        <x:v>第一阶段复现对照</x:v>
      </x:c>
    </x:row>
    <x:row r="3" ht="28" customHeight="1">
      <x:c r="A3" s="12" t="str">
        <x:v>核对项</x:v>
      </x:c>
      <x:c r="B3" s="25" t="str">
        <x:v>复现值</x:v>
      </x:c>
      <x:c r="C3" s="25" t="str">
        <x:v>旧表值</x:v>
      </x:c>
      <x:c r="D3" s="13" t="str">
        <x:v>差异</x:v>
      </x:c>
    </x:row>
    <x:row r="4">
      <x:c r="A4" s="18" t="str">
        <x:v>有效标注总数</x:v>
      </x:c>
      <x:c r="B4" s="26" t="n">
        <x:v>4747</x:v>
      </x:c>
      <x:c r="C4" s="26" t="n">
        <x:v>4747</x:v>
      </x:c>
      <x:c r="D4" s="26" t="n">
        <x:f>B4-C4</x:f>
        <x:v>0</x:v>
      </x:c>
    </x:row>
    <x:row r="5">
      <x:c r="A5" s="18" t="str">
        <x:v>唯一词对数</x:v>
      </x:c>
      <x:c r="B5" s="26" t="n">
        <x:v>253</x:v>
      </x:c>
      <x:c r="C5" s="26" t="n">
        <x:v>253</x:v>
      </x:c>
      <x:c r="D5" s="26" t="n">
        <x:f>B5-C5</x:f>
        <x:v>0</x:v>
      </x:c>
    </x:row>
    <x:row r="6">
      <x:c r="A6" s="18" t="str">
        <x:v>场景×美学分组数</x:v>
      </x:c>
      <x:c r="B6" s="26" t="n">
        <x:v>52</x:v>
      </x:c>
      <x:c r="C6" s="26" t="n">
        <x:v>52</x:v>
      </x:c>
      <x:c r="D6" s="26" t="n">
        <x:f>B6-C6</x:f>
        <x:v>0</x:v>
      </x:c>
    </x:row>
    <x:row r="7">
      <x:c r="A7" s="18" t="str">
        <x:v>数值对照</x:v>
      </x:c>
      <x:c r="B7" s="18" t="str">
        <x:v>全局频数、场景统计和 253 组词对计数已逐项对照</x:v>
      </x:c>
      <x:c r="C7" s="18" t="str">
        <x:v>参考工作簿</x:v>
      </x:c>
      <x:c r="D7" s="18" t="str">
        <x:v>0 项差异</x:v>
      </x:c>
    </x:row>
    <x:row r="8">
      <x:c r="A8" s="19" t="str">
        <x:v>A/O/I/M 分类</x:v>
      </x:c>
      <x:c r="B8" s="19" t="str">
        <x:v>legacy mapping</x:v>
      </x:c>
      <x:c r="C8" s="19" t="str">
        <x:v>旧表静态分类</x:v>
      </x:c>
      <x:c r="D8" s="19" t="str">
        <x:v>缺少可执行阈值，不作伪复现</x:v>
      </x:c>
    </x:row>
    <x:row r="10">
      <x:c r="A10" s="32" t="str">
        <x:v>说明：该工作簿重新计算计数和比例，仅继承旧表无法从公式恢复的分类、优先级和设计建议。</x:v>
      </x:c>
      <x:c r="B10" s="32"/>
      <x:c r="C10" s="32"/>
      <x:c r="D10" s="32"/>
    </x:row>
  </x:sheetData>
  <x:mergeCells>
    <x:mergeCell ref="A1:D1"/>
    <x:mergeCell ref="A10:D10"/>
  </x:mergeCells>
  <x:pageMargins left="0.7" right="0.7" top="0.75" bottom="0.75" header="0.3" footer="0.3"/>
</x:worksheet>
</file>